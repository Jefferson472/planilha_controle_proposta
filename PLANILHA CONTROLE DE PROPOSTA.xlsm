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EFFERSON-PC\Documents\MeusProjetos\planilha_controle_proposta\"/>
    </mc:Choice>
  </mc:AlternateContent>
  <xr:revisionPtr revIDLastSave="0" documentId="13_ncr:1_{79E7DD37-2AAD-46AF-B5E4-3DF6E63A12C7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RESUMO" sheetId="85" r:id="rId1"/>
    <sheet name="DATABASE" sheetId="86" r:id="rId2"/>
    <sheet name="LISTAS" sheetId="87" r:id="rId3"/>
    <sheet name="BASEITENS" sheetId="2" r:id="rId4"/>
    <sheet name="BASEITENS_GERAL" sheetId="89" r:id="rId5"/>
    <sheet name="COD_PROPOSTA" sheetId="88" r:id="rId6"/>
    <sheet name="E1_PLAN" sheetId="81" r:id="rId7"/>
    <sheet name="LAYOUT_BASE" sheetId="4" r:id="rId8"/>
  </sheets>
  <definedNames>
    <definedName name="_xlnm._FilterDatabase" localSheetId="1" hidden="1">DATABASE!#REF!</definedName>
    <definedName name="_xlnm.Print_Area" localSheetId="7">LAYOUT_BASE!$B$2:$Y$23</definedName>
    <definedName name="_xlnm.Print_Area">#REF!</definedName>
    <definedName name="Contrato" localSheetId="4">#REF!</definedName>
    <definedName name="Contrato" localSheetId="5">#REF!</definedName>
    <definedName name="Contrato" localSheetId="1">#REF!</definedName>
    <definedName name="Contrato">#REF!</definedName>
    <definedName name="_xlnm.Print_Titles" localSheetId="7">LAYOUT_BASE!$2:$10</definedName>
    <definedName name="_xlnm.Print_Titles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H2" i="2"/>
  <c r="I3" i="86"/>
  <c r="Y14" i="4" l="1"/>
  <c r="Y12" i="4" l="1"/>
  <c r="I2" i="86"/>
</calcChain>
</file>

<file path=xl/sharedStrings.xml><?xml version="1.0" encoding="utf-8"?>
<sst xmlns="http://schemas.openxmlformats.org/spreadsheetml/2006/main" count="158" uniqueCount="108">
  <si>
    <t>PROPRIEDADE</t>
  </si>
  <si>
    <t>CATEGORIA</t>
  </si>
  <si>
    <t>SERVIÇO A SEREM EXECUTADOS</t>
  </si>
  <si>
    <t>DATA</t>
  </si>
  <si>
    <t>PROPOSTA</t>
  </si>
  <si>
    <t>DESCRIÇÃO DOS SERVIÇOS / MATERIAIS</t>
  </si>
  <si>
    <t>QNT</t>
  </si>
  <si>
    <t>UNID</t>
  </si>
  <si>
    <t>VALOR</t>
  </si>
  <si>
    <t>pç</t>
  </si>
  <si>
    <t>TOTAL</t>
  </si>
  <si>
    <t>Elétrica</t>
  </si>
  <si>
    <t>CC</t>
  </si>
  <si>
    <t>CONTRATO</t>
  </si>
  <si>
    <t>CC2</t>
  </si>
  <si>
    <t>ENDEREÇO</t>
  </si>
  <si>
    <t>EMAIL</t>
  </si>
  <si>
    <t>Civil</t>
  </si>
  <si>
    <t>Hidráulica</t>
  </si>
  <si>
    <t>Hora Extra</t>
  </si>
  <si>
    <t>Iluminação</t>
  </si>
  <si>
    <t>Porta de Enrolar</t>
  </si>
  <si>
    <t>UNIDADE</t>
  </si>
  <si>
    <t>L</t>
  </si>
  <si>
    <t>m</t>
  </si>
  <si>
    <t>m³</t>
  </si>
  <si>
    <t>lt</t>
  </si>
  <si>
    <t>gl</t>
  </si>
  <si>
    <t>tb</t>
  </si>
  <si>
    <t>pac</t>
  </si>
  <si>
    <t>vb</t>
  </si>
  <si>
    <t>unid</t>
  </si>
  <si>
    <t>kg</t>
  </si>
  <si>
    <t>sac</t>
  </si>
  <si>
    <t>br</t>
  </si>
  <si>
    <t>FORNECEDOR</t>
  </si>
  <si>
    <t>VALOR_FORN</t>
  </si>
  <si>
    <t>VALOR_BDI</t>
  </si>
  <si>
    <t>TOTAL_BDI</t>
  </si>
  <si>
    <t>VALOR_CLIENTE</t>
  </si>
  <si>
    <t>Coluna1</t>
  </si>
  <si>
    <t>ABREVIAÇÃO</t>
  </si>
  <si>
    <t>E1_CODE</t>
  </si>
  <si>
    <t>RAZÃO_SOCIAL</t>
  </si>
  <si>
    <t>Cond. de Pagto:</t>
  </si>
  <si>
    <t>25 dias</t>
  </si>
  <si>
    <t>Validade da Proposta:</t>
  </si>
  <si>
    <t>A combinar</t>
  </si>
  <si>
    <t>Prazo de Entrega:</t>
  </si>
  <si>
    <t>Contratual</t>
  </si>
  <si>
    <t xml:space="preserve">Garantia do Serviço: </t>
  </si>
  <si>
    <t>Os preços acima são válidos para o conjunto de fornecimento e serviços. A execução destes itens isoladamente poderá sofrer alterações nos valores propostos.</t>
  </si>
  <si>
    <t>Observação:</t>
  </si>
  <si>
    <t>VALOR GERAL</t>
  </si>
  <si>
    <t>ITEM</t>
  </si>
  <si>
    <t>SERVIÇOS A SEREM EXECUTADOS:</t>
  </si>
  <si>
    <t>CATEGORIA:</t>
  </si>
  <si>
    <t>RESPONSÁVEL:</t>
  </si>
  <si>
    <t>DATA DA ABERTURA DE CHAMADO:</t>
  </si>
  <si>
    <t>PROPRIEDADE:</t>
  </si>
  <si>
    <t>ID - ORDEM DE SERVIÇO:</t>
  </si>
  <si>
    <t>PROPOSTA Nº:</t>
  </si>
  <si>
    <t>PROPOSTA PARA EXECUÇÃO DE SERVIÇOS</t>
  </si>
  <si>
    <t>Total Geral</t>
  </si>
  <si>
    <t>CLIENTE</t>
  </si>
  <si>
    <t>COD</t>
  </si>
  <si>
    <t>#</t>
  </si>
  <si>
    <t>-</t>
  </si>
  <si>
    <t>1</t>
  </si>
  <si>
    <t>Locação de Andaime</t>
  </si>
  <si>
    <t>Locação de Plataforma</t>
  </si>
  <si>
    <t>Ar Condicionado</t>
  </si>
  <si>
    <t>APROVADO</t>
  </si>
  <si>
    <t>DATA_APROV</t>
  </si>
  <si>
    <t>PO_JLL</t>
  </si>
  <si>
    <t>PO_CLIENTE</t>
  </si>
  <si>
    <t>FATURADO</t>
  </si>
  <si>
    <t>DATA_FAT</t>
  </si>
  <si>
    <t>Pintura</t>
  </si>
  <si>
    <t>Cta. Det.</t>
  </si>
  <si>
    <t>Conta Obj.</t>
  </si>
  <si>
    <t>Unidade Negócios</t>
  </si>
  <si>
    <t>Description 2</t>
  </si>
  <si>
    <t>Description 1</t>
  </si>
  <si>
    <t>Preço Total</t>
  </si>
  <si>
    <t>Custo Unitário</t>
  </si>
  <si>
    <t>Quant. Solicitada</t>
  </si>
  <si>
    <t>Item Number</t>
  </si>
  <si>
    <t>Supplier</t>
  </si>
  <si>
    <t>Header Reference</t>
  </si>
  <si>
    <t>PO Number</t>
  </si>
  <si>
    <t>Categoria</t>
  </si>
  <si>
    <t>Serviço</t>
  </si>
  <si>
    <t>Material</t>
  </si>
  <si>
    <t>Impermeabilização</t>
  </si>
  <si>
    <t>CLIENTE TESTE</t>
  </si>
  <si>
    <t>CLITES-2021</t>
  </si>
  <si>
    <t>RESPONSÁVEL</t>
  </si>
  <si>
    <t>FORN TESTE</t>
  </si>
  <si>
    <t>FORNECEDOR TESTE</t>
  </si>
  <si>
    <t xml:space="preserve">RAZÃO SOCIAL: </t>
  </si>
  <si>
    <t xml:space="preserve">CNPJ - SP: </t>
  </si>
  <si>
    <t xml:space="preserve">E-MAIL: </t>
  </si>
  <si>
    <r>
      <t>TELEFONE:</t>
    </r>
    <r>
      <rPr>
        <sz val="12"/>
        <rFont val="Calibri"/>
        <family val="2"/>
        <scheme val="minor"/>
      </rPr>
      <t xml:space="preserve"> </t>
    </r>
  </si>
  <si>
    <t xml:space="preserve">CONTATO: </t>
  </si>
  <si>
    <t>CLITES-2021-001</t>
  </si>
  <si>
    <t>TESTE</t>
  </si>
  <si>
    <t>CLITES-2021-001 - 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</si>
</sst>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_(* #,##0.00_);_(* \(#,##0.00\);_(* &quot;-&quot;??_);_(@_)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1"/>
      <name val="Arial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Arial"/>
      <family val="2"/>
    </font>
    <font>
      <sz val="12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u/>
      <sz val="12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b/>
      <u/>
      <sz val="20"/>
      <color indexed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</fills>
  <borders count="42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128">
    <xf numFmtId="0" fontId="0" fillId="0" borderId="0" xfId="0"/>
    <xf numFmtId="164" fontId="0" fillId="0" borderId="0" xfId="1" applyFont="1"/>
    <xf numFmtId="0" fontId="4" fillId="0" borderId="0" xfId="2" applyFont="1"/>
    <xf numFmtId="0" fontId="3" fillId="0" borderId="0" xfId="2"/>
    <xf numFmtId="165" fontId="4" fillId="0" borderId="0" xfId="3" applyFont="1"/>
    <xf numFmtId="0" fontId="4" fillId="0" borderId="0" xfId="2" applyFont="1" applyAlignment="1">
      <alignment horizontal="justify" vertical="top"/>
    </xf>
    <xf numFmtId="0" fontId="4" fillId="0" borderId="0" xfId="2" applyFont="1" applyAlignment="1">
      <alignment vertical="top"/>
    </xf>
    <xf numFmtId="0" fontId="5" fillId="0" borderId="0" xfId="2" applyFont="1"/>
    <xf numFmtId="0" fontId="6" fillId="0" borderId="0" xfId="2" applyFont="1"/>
    <xf numFmtId="165" fontId="5" fillId="0" borderId="0" xfId="3" applyFont="1"/>
    <xf numFmtId="0" fontId="5" fillId="0" borderId="0" xfId="2" applyFont="1" applyAlignment="1">
      <alignment horizontal="justify" vertical="top"/>
    </xf>
    <xf numFmtId="0" fontId="5" fillId="0" borderId="0" xfId="2" applyFont="1" applyAlignment="1">
      <alignment vertical="top"/>
    </xf>
    <xf numFmtId="0" fontId="4" fillId="0" borderId="0" xfId="2" applyFont="1" applyAlignment="1">
      <alignment horizontal="justify" vertical="justify"/>
    </xf>
    <xf numFmtId="0" fontId="5" fillId="0" borderId="0" xfId="2" applyFont="1" applyAlignment="1">
      <alignment horizontal="justify" vertical="justify"/>
    </xf>
    <xf numFmtId="165" fontId="3" fillId="0" borderId="0" xfId="3" applyFont="1"/>
    <xf numFmtId="0" fontId="7" fillId="0" borderId="0" xfId="2" applyFont="1"/>
    <xf numFmtId="0" fontId="8" fillId="0" borderId="0" xfId="2" applyFont="1"/>
    <xf numFmtId="0" fontId="9" fillId="0" borderId="1" xfId="2" applyFont="1" applyBorder="1" applyAlignment="1">
      <alignment horizontal="left" vertical="center"/>
    </xf>
    <xf numFmtId="0" fontId="9" fillId="0" borderId="2" xfId="2" applyFont="1" applyBorder="1" applyAlignment="1">
      <alignment vertical="center"/>
    </xf>
    <xf numFmtId="0" fontId="12" fillId="0" borderId="0" xfId="2" applyFont="1"/>
    <xf numFmtId="0" fontId="9" fillId="0" borderId="4" xfId="2" applyFont="1" applyBorder="1" applyAlignment="1">
      <alignment horizontal="left" vertical="center"/>
    </xf>
    <xf numFmtId="0" fontId="9" fillId="0" borderId="5" xfId="2" applyFont="1" applyBorder="1" applyAlignment="1">
      <alignment vertical="center"/>
    </xf>
    <xf numFmtId="165" fontId="3" fillId="0" borderId="0" xfId="2" applyNumberFormat="1"/>
    <xf numFmtId="164" fontId="6" fillId="0" borderId="0" xfId="2" applyNumberFormat="1" applyFont="1" applyAlignment="1">
      <alignment vertical="center"/>
    </xf>
    <xf numFmtId="164" fontId="16" fillId="0" borderId="7" xfId="4" applyFont="1" applyFill="1" applyBorder="1" applyAlignment="1">
      <alignment horizontal="center" vertical="center"/>
    </xf>
    <xf numFmtId="0" fontId="16" fillId="0" borderId="14" xfId="3" applyNumberFormat="1" applyFont="1" applyFill="1" applyBorder="1" applyAlignment="1">
      <alignment horizontal="center" vertical="center"/>
    </xf>
    <xf numFmtId="0" fontId="16" fillId="0" borderId="16" xfId="3" applyNumberFormat="1" applyFont="1" applyFill="1" applyBorder="1" applyAlignment="1">
      <alignment horizontal="center" vertical="center"/>
    </xf>
    <xf numFmtId="165" fontId="2" fillId="2" borderId="17" xfId="3" applyFont="1" applyFill="1" applyBorder="1" applyAlignment="1">
      <alignment horizontal="center" vertical="center"/>
    </xf>
    <xf numFmtId="165" fontId="2" fillId="2" borderId="11" xfId="3" applyFont="1" applyFill="1" applyBorder="1" applyAlignment="1">
      <alignment horizontal="center" vertical="center"/>
    </xf>
    <xf numFmtId="165" fontId="2" fillId="2" borderId="18" xfId="3" applyFont="1" applyFill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6" fillId="0" borderId="0" xfId="2" applyFont="1" applyAlignment="1">
      <alignment vertical="center"/>
    </xf>
    <xf numFmtId="0" fontId="5" fillId="0" borderId="21" xfId="2" applyFont="1" applyBorder="1"/>
    <xf numFmtId="0" fontId="11" fillId="0" borderId="0" xfId="2" applyFont="1" applyAlignment="1">
      <alignment vertical="center"/>
    </xf>
    <xf numFmtId="0" fontId="11" fillId="0" borderId="21" xfId="2" applyFont="1" applyBorder="1" applyAlignment="1">
      <alignment vertical="center"/>
    </xf>
    <xf numFmtId="0" fontId="11" fillId="0" borderId="10" xfId="2" applyFont="1" applyBorder="1" applyAlignment="1">
      <alignment vertical="center"/>
    </xf>
    <xf numFmtId="0" fontId="11" fillId="0" borderId="5" xfId="2" applyFont="1" applyBorder="1" applyAlignment="1">
      <alignment vertical="center"/>
    </xf>
    <xf numFmtId="0" fontId="11" fillId="0" borderId="6" xfId="2" applyFont="1" applyBorder="1" applyAlignment="1">
      <alignment vertical="center"/>
    </xf>
    <xf numFmtId="0" fontId="10" fillId="0" borderId="0" xfId="2" applyFont="1" applyAlignment="1">
      <alignment vertical="center"/>
    </xf>
    <xf numFmtId="0" fontId="10" fillId="0" borderId="21" xfId="2" applyFont="1" applyBorder="1" applyAlignment="1">
      <alignment vertical="center"/>
    </xf>
    <xf numFmtId="0" fontId="19" fillId="0" borderId="0" xfId="2" applyFont="1" applyAlignment="1">
      <alignment vertical="center"/>
    </xf>
    <xf numFmtId="165" fontId="4" fillId="0" borderId="21" xfId="3" applyFont="1" applyBorder="1"/>
    <xf numFmtId="0" fontId="15" fillId="0" borderId="0" xfId="2" applyFont="1" applyAlignment="1">
      <alignment vertical="center"/>
    </xf>
    <xf numFmtId="14" fontId="10" fillId="0" borderId="0" xfId="2" applyNumberFormat="1" applyFont="1" applyAlignment="1">
      <alignment vertical="center"/>
    </xf>
    <xf numFmtId="14" fontId="10" fillId="0" borderId="21" xfId="2" applyNumberFormat="1" applyFont="1" applyBorder="1" applyAlignment="1">
      <alignment vertical="center"/>
    </xf>
    <xf numFmtId="0" fontId="11" fillId="0" borderId="11" xfId="2" applyFont="1" applyBorder="1" applyAlignment="1">
      <alignment vertical="center"/>
    </xf>
    <xf numFmtId="0" fontId="11" fillId="0" borderId="9" xfId="2" applyFont="1" applyBorder="1" applyAlignment="1">
      <alignment vertical="center"/>
    </xf>
    <xf numFmtId="0" fontId="11" fillId="0" borderId="22" xfId="2" applyFont="1" applyBorder="1" applyAlignment="1">
      <alignment vertical="center"/>
    </xf>
    <xf numFmtId="0" fontId="11" fillId="0" borderId="8" xfId="2" applyFont="1" applyBorder="1" applyAlignment="1">
      <alignment vertical="center"/>
    </xf>
    <xf numFmtId="0" fontId="5" fillId="0" borderId="22" xfId="2" applyFont="1" applyBorder="1"/>
    <xf numFmtId="0" fontId="5" fillId="0" borderId="4" xfId="2" applyFont="1" applyBorder="1"/>
    <xf numFmtId="0" fontId="16" fillId="0" borderId="35" xfId="3" applyNumberFormat="1" applyFont="1" applyFill="1" applyBorder="1" applyAlignment="1">
      <alignment horizontal="center" vertical="center"/>
    </xf>
    <xf numFmtId="164" fontId="17" fillId="3" borderId="24" xfId="4" applyFont="1" applyFill="1" applyBorder="1" applyAlignment="1">
      <alignment horizontal="center" vertical="center" wrapText="1"/>
    </xf>
    <xf numFmtId="164" fontId="14" fillId="0" borderId="25" xfId="4" applyFont="1" applyFill="1" applyBorder="1" applyAlignment="1">
      <alignment horizontal="center" vertical="center"/>
    </xf>
    <xf numFmtId="164" fontId="17" fillId="3" borderId="25" xfId="4" applyFont="1" applyFill="1" applyBorder="1" applyAlignment="1">
      <alignment horizontal="center" vertical="center" wrapText="1"/>
    </xf>
    <xf numFmtId="165" fontId="2" fillId="2" borderId="39" xfId="3" applyFont="1" applyFill="1" applyBorder="1" applyAlignment="1">
      <alignment horizontal="center" vertical="center" wrapText="1"/>
    </xf>
    <xf numFmtId="0" fontId="7" fillId="0" borderId="0" xfId="2" quotePrefix="1" applyFont="1"/>
    <xf numFmtId="0" fontId="2" fillId="4" borderId="40" xfId="0" applyFont="1" applyFill="1" applyBorder="1"/>
    <xf numFmtId="0" fontId="2" fillId="4" borderId="41" xfId="0" applyFont="1" applyFill="1" applyBorder="1"/>
    <xf numFmtId="0" fontId="21" fillId="0" borderId="0" xfId="5"/>
    <xf numFmtId="14" fontId="0" fillId="0" borderId="0" xfId="0" applyNumberFormat="1"/>
    <xf numFmtId="0" fontId="22" fillId="0" borderId="0" xfId="0" applyFont="1"/>
    <xf numFmtId="49" fontId="0" fillId="0" borderId="0" xfId="0" applyNumberFormat="1"/>
    <xf numFmtId="49" fontId="6" fillId="0" borderId="0" xfId="0" applyNumberFormat="1" applyFont="1"/>
    <xf numFmtId="49" fontId="0" fillId="0" borderId="0" xfId="0" quotePrefix="1" applyNumberFormat="1"/>
    <xf numFmtId="0" fontId="0" fillId="0" borderId="0" xfId="0" applyNumberFormat="1"/>
    <xf numFmtId="0" fontId="0" fillId="0" borderId="40" xfId="0" applyFont="1" applyBorder="1"/>
    <xf numFmtId="0" fontId="14" fillId="3" borderId="6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6" fillId="0" borderId="7" xfId="2" applyFont="1" applyBorder="1" applyAlignment="1">
      <alignment horizontal="left" vertical="center" wrapText="1"/>
    </xf>
    <xf numFmtId="0" fontId="16" fillId="0" borderId="5" xfId="2" applyFont="1" applyBorder="1" applyAlignment="1">
      <alignment horizontal="left" vertical="center" wrapText="1"/>
    </xf>
    <xf numFmtId="0" fontId="16" fillId="0" borderId="13" xfId="2" applyFont="1" applyBorder="1" applyAlignment="1">
      <alignment horizontal="left" vertical="center" wrapText="1"/>
    </xf>
    <xf numFmtId="0" fontId="18" fillId="0" borderId="10" xfId="2" applyFont="1" applyBorder="1" applyAlignment="1">
      <alignment horizontal="left" vertical="center"/>
    </xf>
    <xf numFmtId="0" fontId="18" fillId="0" borderId="0" xfId="2" applyFont="1" applyAlignment="1">
      <alignment horizontal="left" vertical="center"/>
    </xf>
    <xf numFmtId="0" fontId="11" fillId="0" borderId="10" xfId="2" applyFont="1" applyBorder="1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0" borderId="9" xfId="2" applyFont="1" applyBorder="1" applyAlignment="1">
      <alignment horizontal="center" vertical="center"/>
    </xf>
    <xf numFmtId="0" fontId="11" fillId="0" borderId="8" xfId="2" applyFont="1" applyBorder="1" applyAlignment="1">
      <alignment horizontal="center" vertical="center"/>
    </xf>
    <xf numFmtId="0" fontId="9" fillId="0" borderId="6" xfId="2" applyFont="1" applyBorder="1" applyAlignment="1">
      <alignment horizontal="left" vertical="center"/>
    </xf>
    <xf numFmtId="0" fontId="9" fillId="0" borderId="5" xfId="2" applyFont="1" applyBorder="1" applyAlignment="1">
      <alignment horizontal="left" vertical="center"/>
    </xf>
    <xf numFmtId="0" fontId="9" fillId="0" borderId="11" xfId="2" applyFont="1" applyBorder="1" applyAlignment="1">
      <alignment horizontal="left" vertical="center"/>
    </xf>
    <xf numFmtId="0" fontId="9" fillId="0" borderId="4" xfId="2" applyFont="1" applyBorder="1" applyAlignment="1">
      <alignment horizontal="left" vertical="center"/>
    </xf>
    <xf numFmtId="0" fontId="16" fillId="0" borderId="32" xfId="2" applyFont="1" applyBorder="1" applyAlignment="1">
      <alignment horizontal="left" vertical="center" wrapText="1"/>
    </xf>
    <xf numFmtId="0" fontId="16" fillId="0" borderId="30" xfId="2" applyFont="1" applyBorder="1" applyAlignment="1">
      <alignment horizontal="left" vertical="center" wrapText="1"/>
    </xf>
    <xf numFmtId="0" fontId="16" fillId="0" borderId="33" xfId="2" applyFont="1" applyBorder="1" applyAlignment="1">
      <alignment horizontal="left" vertical="center" wrapText="1"/>
    </xf>
    <xf numFmtId="0" fontId="16" fillId="0" borderId="34" xfId="2" applyFont="1" applyBorder="1" applyAlignment="1">
      <alignment horizontal="left" vertical="center" wrapText="1"/>
    </xf>
    <xf numFmtId="0" fontId="9" fillId="0" borderId="36" xfId="2" applyFont="1" applyBorder="1" applyAlignment="1">
      <alignment horizontal="left" vertical="center" wrapText="1"/>
    </xf>
    <xf numFmtId="0" fontId="9" fillId="0" borderId="37" xfId="2" applyFont="1" applyBorder="1" applyAlignment="1">
      <alignment horizontal="left" vertical="center" wrapText="1"/>
    </xf>
    <xf numFmtId="0" fontId="9" fillId="0" borderId="38" xfId="2" applyFont="1" applyBorder="1" applyAlignment="1">
      <alignment horizontal="left" vertical="center" wrapText="1"/>
    </xf>
    <xf numFmtId="0" fontId="14" fillId="0" borderId="30" xfId="2" quotePrefix="1" applyFont="1" applyFill="1" applyBorder="1" applyAlignment="1">
      <alignment horizontal="center" vertical="center"/>
    </xf>
    <xf numFmtId="0" fontId="14" fillId="0" borderId="31" xfId="2" applyFont="1" applyFill="1" applyBorder="1" applyAlignment="1">
      <alignment horizontal="center" vertical="center"/>
    </xf>
    <xf numFmtId="0" fontId="2" fillId="2" borderId="6" xfId="2" applyFont="1" applyFill="1" applyBorder="1" applyAlignment="1">
      <alignment horizontal="center" vertical="center"/>
    </xf>
    <xf numFmtId="0" fontId="2" fillId="2" borderId="29" xfId="2" applyFont="1" applyFill="1" applyBorder="1" applyAlignment="1">
      <alignment horizontal="center" vertical="center"/>
    </xf>
    <xf numFmtId="0" fontId="2" fillId="2" borderId="20" xfId="2" applyFont="1" applyFill="1" applyBorder="1" applyAlignment="1">
      <alignment horizontal="center" vertical="center"/>
    </xf>
    <xf numFmtId="0" fontId="2" fillId="2" borderId="19" xfId="2" applyFont="1" applyFill="1" applyBorder="1" applyAlignment="1">
      <alignment horizontal="center" vertical="center"/>
    </xf>
    <xf numFmtId="0" fontId="2" fillId="2" borderId="18" xfId="2" applyFont="1" applyFill="1" applyBorder="1" applyAlignment="1">
      <alignment horizontal="center" vertical="center"/>
    </xf>
    <xf numFmtId="0" fontId="14" fillId="2" borderId="12" xfId="2" quotePrefix="1" applyFont="1" applyFill="1" applyBorder="1" applyAlignment="1">
      <alignment horizontal="center" vertical="center"/>
    </xf>
    <xf numFmtId="0" fontId="14" fillId="2" borderId="11" xfId="2" applyFont="1" applyFill="1" applyBorder="1" applyAlignment="1">
      <alignment horizontal="center" vertical="center"/>
    </xf>
    <xf numFmtId="0" fontId="14" fillId="2" borderId="23" xfId="2" applyFont="1" applyFill="1" applyBorder="1" applyAlignment="1">
      <alignment horizontal="center" vertical="center"/>
    </xf>
    <xf numFmtId="0" fontId="20" fillId="2" borderId="28" xfId="2" applyFont="1" applyFill="1" applyBorder="1" applyAlignment="1">
      <alignment horizontal="center" vertical="center"/>
    </xf>
    <xf numFmtId="0" fontId="20" fillId="2" borderId="27" xfId="2" applyFont="1" applyFill="1" applyBorder="1" applyAlignment="1">
      <alignment horizontal="center" vertical="center"/>
    </xf>
    <xf numFmtId="0" fontId="20" fillId="2" borderId="26" xfId="2" applyFont="1" applyFill="1" applyBorder="1" applyAlignment="1">
      <alignment horizontal="center" vertical="center"/>
    </xf>
    <xf numFmtId="0" fontId="20" fillId="2" borderId="15" xfId="2" applyFont="1" applyFill="1" applyBorder="1" applyAlignment="1">
      <alignment horizontal="center" vertical="center"/>
    </xf>
    <xf numFmtId="0" fontId="20" fillId="2" borderId="14" xfId="2" applyFont="1" applyFill="1" applyBorder="1" applyAlignment="1">
      <alignment horizontal="center" vertical="center"/>
    </xf>
    <xf numFmtId="0" fontId="20" fillId="2" borderId="25" xfId="2" applyFont="1" applyFill="1" applyBorder="1" applyAlignment="1">
      <alignment horizontal="center" vertical="center"/>
    </xf>
    <xf numFmtId="0" fontId="20" fillId="2" borderId="24" xfId="2" applyFont="1" applyFill="1" applyBorder="1" applyAlignment="1">
      <alignment horizontal="center" vertical="center"/>
    </xf>
    <xf numFmtId="0" fontId="18" fillId="0" borderId="12" xfId="2" applyFont="1" applyBorder="1" applyAlignment="1">
      <alignment horizontal="left" vertical="center"/>
    </xf>
    <xf numFmtId="0" fontId="18" fillId="0" borderId="11" xfId="2" applyFont="1" applyBorder="1" applyAlignment="1">
      <alignment horizontal="left" vertical="center"/>
    </xf>
    <xf numFmtId="0" fontId="15" fillId="0" borderId="11" xfId="2" applyFont="1" applyBorder="1" applyAlignment="1">
      <alignment horizontal="left" vertical="center"/>
    </xf>
    <xf numFmtId="0" fontId="11" fillId="0" borderId="11" xfId="2" applyFont="1" applyBorder="1" applyAlignment="1">
      <alignment horizontal="center" vertical="center"/>
    </xf>
    <xf numFmtId="0" fontId="15" fillId="0" borderId="0" xfId="2" applyFont="1" applyAlignment="1">
      <alignment horizontal="left" vertical="center"/>
    </xf>
    <xf numFmtId="0" fontId="15" fillId="0" borderId="21" xfId="2" applyFont="1" applyBorder="1" applyAlignment="1">
      <alignment horizontal="left" vertical="center"/>
    </xf>
    <xf numFmtId="0" fontId="15" fillId="0" borderId="11" xfId="2" applyFont="1" applyBorder="1" applyAlignment="1">
      <alignment horizontal="center" vertical="center"/>
    </xf>
    <xf numFmtId="0" fontId="15" fillId="0" borderId="23" xfId="2" applyFont="1" applyBorder="1" applyAlignment="1">
      <alignment horizontal="center" vertical="center"/>
    </xf>
    <xf numFmtId="14" fontId="15" fillId="0" borderId="0" xfId="2" applyNumberFormat="1" applyFont="1" applyAlignment="1">
      <alignment horizontal="center" vertical="center"/>
    </xf>
    <xf numFmtId="0" fontId="10" fillId="0" borderId="2" xfId="2" applyFont="1" applyBorder="1" applyAlignment="1">
      <alignment horizontal="right" vertical="center"/>
    </xf>
    <xf numFmtId="0" fontId="11" fillId="0" borderId="6" xfId="2" applyFont="1" applyBorder="1" applyAlignment="1">
      <alignment horizontal="left" vertical="center"/>
    </xf>
    <xf numFmtId="0" fontId="11" fillId="0" borderId="5" xfId="2" applyFont="1" applyBorder="1" applyAlignment="1">
      <alignment horizontal="left" vertical="center"/>
    </xf>
    <xf numFmtId="0" fontId="13" fillId="0" borderId="7" xfId="2" applyFont="1" applyBorder="1" applyAlignment="1">
      <alignment horizontal="left" vertical="center" wrapText="1"/>
    </xf>
    <xf numFmtId="0" fontId="13" fillId="0" borderId="5" xfId="2" applyFont="1" applyBorder="1" applyAlignment="1">
      <alignment horizontal="left" vertical="center" wrapText="1"/>
    </xf>
    <xf numFmtId="0" fontId="13" fillId="0" borderId="4" xfId="2" applyFont="1" applyBorder="1" applyAlignment="1">
      <alignment horizontal="left" vertical="center" wrapText="1"/>
    </xf>
    <xf numFmtId="0" fontId="11" fillId="0" borderId="3" xfId="2" applyFont="1" applyBorder="1" applyAlignment="1">
      <alignment horizontal="left" vertical="center"/>
    </xf>
    <xf numFmtId="0" fontId="11" fillId="0" borderId="2" xfId="2" applyFont="1" applyBorder="1" applyAlignment="1">
      <alignment horizontal="left" vertical="center"/>
    </xf>
    <xf numFmtId="0" fontId="9" fillId="0" borderId="7" xfId="2" applyFont="1" applyBorder="1" applyAlignment="1">
      <alignment horizontal="left" vertical="center" wrapText="1"/>
    </xf>
    <xf numFmtId="0" fontId="9" fillId="0" borderId="5" xfId="2" applyFont="1" applyBorder="1" applyAlignment="1">
      <alignment horizontal="left" vertical="center" wrapText="1"/>
    </xf>
    <xf numFmtId="0" fontId="9" fillId="0" borderId="4" xfId="2" applyFont="1" applyBorder="1" applyAlignment="1">
      <alignment horizontal="left" vertical="center" wrapText="1"/>
    </xf>
    <xf numFmtId="0" fontId="10" fillId="0" borderId="5" xfId="2" applyFont="1" applyBorder="1" applyAlignment="1">
      <alignment horizontal="right" vertical="center"/>
    </xf>
  </cellXfs>
  <cellStyles count="6">
    <cellStyle name="Hiperlink" xfId="5" builtinId="8"/>
    <cellStyle name="Moeda" xfId="1" builtinId="4"/>
    <cellStyle name="Moeda 2" xfId="4" xr:uid="{7E7528A2-D74B-48BD-B257-D09712AEA93B}"/>
    <cellStyle name="Normal" xfId="0" builtinId="0"/>
    <cellStyle name="Normal 2" xfId="2" xr:uid="{0171BDF3-8C85-4920-B858-E6D23F02D235}"/>
    <cellStyle name="Vírgula 2" xfId="3" xr:uid="{2517704B-4392-4179-8107-6BB2565652DB}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5</xdr:row>
          <xdr:rowOff>95250</xdr:rowOff>
        </xdr:from>
        <xdr:to>
          <xdr:col>4</xdr:col>
          <xdr:colOff>323850</xdr:colOff>
          <xdr:row>8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FORMULÁRIO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CB03D8-0BC7-4D3B-8C89-39808851844F}" name="Tabela1" displayName="Tabela1" ref="A1:O3" totalsRowShown="0">
  <autoFilter ref="A1:O3" xr:uid="{3649F4CE-AB2F-4AEC-B9B3-ABB19BAA90D9}"/>
  <tableColumns count="15">
    <tableColumn id="1" xr3:uid="{95C78666-B2AC-468B-96D0-2D629CDA2F8F}" name="PROPOSTA" dataDxfId="7"/>
    <tableColumn id="5" xr3:uid="{BFD7249E-C66A-43BC-9EAA-03B1697AF65F}" name="DATA" dataDxfId="6"/>
    <tableColumn id="2" xr3:uid="{10F53CBD-8CC2-43FC-BDB8-1C1F3F78F912}" name="PROPRIEDADE"/>
    <tableColumn id="3" xr3:uid="{F3EA4A59-4A77-434B-B224-077269B46C65}" name="CATEGORIA"/>
    <tableColumn id="4" xr3:uid="{00CF08A1-2A2D-4B91-A128-381CBE28005E}" name="SERVIÇO A SEREM EXECUTADOS"/>
    <tableColumn id="9" xr3:uid="{906F0124-970D-4855-847E-095A8827095B}" name="VALOR_CLIENTE" dataDxfId="5" dataCellStyle="Moeda"/>
    <tableColumn id="10" xr3:uid="{1D84BD8E-0C8C-4CD4-BEC4-0EA96C8E72CF}" name="FORNECEDOR"/>
    <tableColumn id="11" xr3:uid="{6782B6B1-0B0D-4107-8E01-8651C035B125}" name="VALOR_FORN" dataDxfId="4" dataCellStyle="Moeda"/>
    <tableColumn id="6" xr3:uid="{1CADDF6B-A0E8-468B-AAFB-61FF5D355EA5}" name="ITEM">
      <calculatedColumnFormula>ROW(Tabela1[[#This Row],[PROPOSTA]])-1</calculatedColumnFormula>
    </tableColumn>
    <tableColumn id="7" xr3:uid="{E7EBE9A2-4871-478B-9A12-974441D7A5E3}" name="APROVADO"/>
    <tableColumn id="8" xr3:uid="{115C9BB3-AE8C-4950-A40F-688080748BEE}" name="DATA_APROV"/>
    <tableColumn id="12" xr3:uid="{348CF802-C163-484D-A246-B935BBF81367}" name="PO_JLL"/>
    <tableColumn id="13" xr3:uid="{1C82848F-8D9F-4C41-81F9-A5EC2F4DF099}" name="PO_CLIENTE"/>
    <tableColumn id="14" xr3:uid="{B3F47EA7-235F-482D-8A86-8932999F3692}" name="FATURADO"/>
    <tableColumn id="15" xr3:uid="{6CAA6A50-B2B8-4CA7-8F0C-2D8FFB1A9FEF}" name="DATA_FAT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D52E8D-D4CC-4DF3-B4A5-35B7394FCC2D}" name="Tabela3" displayName="Tabela3" ref="A1:H65" totalsRowShown="0">
  <autoFilter ref="A1:H65" xr:uid="{DADC0B70-F4DF-40A1-8F69-5FD4E230AB7F}"/>
  <tableColumns count="8">
    <tableColumn id="2" xr3:uid="{94F76FA9-4704-413B-B5F2-B85A49172A4C}" name="CONTRATO"/>
    <tableColumn id="5" xr3:uid="{86517A58-E0BC-4BEF-AEF0-2EE384D72FC7}" name="CC"/>
    <tableColumn id="3" xr3:uid="{5B600BD6-BC0B-4A4E-B849-F29A771BFB38}" name="Coluna1" dataDxfId="3"/>
    <tableColumn id="4" xr3:uid="{0615A194-6D30-4AB2-88C4-37C19DD4F52D}" name="ABREVIAÇÃO"/>
    <tableColumn id="7" xr3:uid="{FD149C48-708C-411E-B923-AA3F93614341}" name="ENDEREÇO"/>
    <tableColumn id="8" xr3:uid="{61D302D8-9B9C-4B31-8C2D-A9F80A999B15}" name="CC2"/>
    <tableColumn id="9" xr3:uid="{595533DD-B9E3-4E53-BE31-A947735EE7C9}" name="RESPONSÁVEL"/>
    <tableColumn id="10" xr3:uid="{51CDFA91-A3BE-4C86-AF0E-869AF92C0114}" name="EMAIL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A548C6-4ADF-4800-9B1B-8298A8B2D1B3}" name="Tabela5" displayName="Tabela5" ref="J1:J12" totalsRowShown="0">
  <autoFilter ref="J1:J12" xr:uid="{5D214763-9AA6-4877-94B2-0C2C28CC6059}"/>
  <tableColumns count="1">
    <tableColumn id="1" xr3:uid="{3522DD82-938E-477E-9760-D17266111A34}" name="CATEGORIA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7C399F-4B26-41A4-BC0B-937FB8BC039F}" name="Tabela6" displayName="Tabela6" ref="L1:L14" totalsRowShown="0">
  <autoFilter ref="L1:L14" xr:uid="{8766E885-D346-4C47-807C-EE4F470F3BCB}"/>
  <tableColumns count="1">
    <tableColumn id="1" xr3:uid="{658E4E58-3CE5-4D8B-AA9A-6F6990CB4C8C}" name="UNIDADE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85E089-0E30-4260-830C-45D572D283D7}" name="Tabela4" displayName="Tabela4" ref="N1:Q290" totalsRowShown="0">
  <autoFilter ref="N1:Q290" xr:uid="{5D8C90F1-DB5D-468B-9A6A-E6C39C112217}"/>
  <tableColumns count="4">
    <tableColumn id="1" xr3:uid="{1509DB2B-BD24-443A-9CFA-839A742E4F2E}" name="FORNECEDOR"/>
    <tableColumn id="2" xr3:uid="{C3C79C24-A6FE-4585-9E22-7907F802371A}" name="E1_CODE"/>
    <tableColumn id="3" xr3:uid="{7F5FE000-1EA5-42ED-B7DD-FF8378AA5159}" name="RAZÃO_SOCIAL"/>
    <tableColumn id="4" xr3:uid="{B0C5ADCE-94D1-4A22-9DF0-BD6989AF9203}" name="Categoria" dataDxfId="2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C2B23E-9EC0-47CB-8529-C3B1A8B7758C}" name="Tabela2" displayName="Tabela2" ref="A1:H2" totalsRowShown="0">
  <autoFilter ref="A1:H2" xr:uid="{8F1DB3C5-7170-457E-A81A-DEF46B7DDF80}"/>
  <tableColumns count="8">
    <tableColumn id="1" xr3:uid="{1B51CCB9-BAD0-46B4-B4CE-B5A9D627387B}" name="PROPOSTA"/>
    <tableColumn id="2" xr3:uid="{8D11F645-19E5-46CD-959B-201204A47620}" name="DESCRIÇÃO DOS SERVIÇOS / MATERIAIS"/>
    <tableColumn id="3" xr3:uid="{DACAD85A-9250-4D9C-96EB-85767CE7C4A1}" name="QNT"/>
    <tableColumn id="4" xr3:uid="{B9B346EE-ED2A-429F-A687-B8754D188D53}" name="UNID"/>
    <tableColumn id="5" xr3:uid="{1DBAE928-B568-46D2-BC9D-D581D8FC0566}" name="VALOR" dataDxfId="1" dataCellStyle="Moeda"/>
    <tableColumn id="6" xr3:uid="{70DD2593-93A2-4082-A2DB-FEBBC1E93D99}" name="TOTAL" dataCellStyle="Moeda">
      <calculatedColumnFormula>Tabela2[[#This Row],[VALOR]]*Tabela2[[#This Row],[QNT]]</calculatedColumnFormula>
    </tableColumn>
    <tableColumn id="7" xr3:uid="{C71089F2-9840-469B-9C48-2A88DEA66C00}" name="VALOR_BDI" dataCellStyle="Moeda"/>
    <tableColumn id="8" xr3:uid="{2BF8C45A-9898-41B5-8272-EB5BD1C47568}" name="TOTAL_BDI" dataCellStyle="Moeda">
      <calculatedColumnFormula>Tabela2[[#This Row],[VALOR_BDI]]*Tabela2[[#This Row],[QNT]]</calculatedColumnFormula>
    </tableColumn>
  </tableColumns>
  <tableStyleInfo name="TableStyleLight8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C4DCEA0-5B29-457D-8496-F1031525B69C}" name="Tabela29" displayName="Tabela29" ref="A1:H2" totalsRowShown="0">
  <autoFilter ref="A1:H2" xr:uid="{FAAE5BB2-DDCF-422E-8311-F3DEB8FEC709}"/>
  <tableColumns count="8">
    <tableColumn id="1" xr3:uid="{2F0FA3AD-6F60-471B-8E18-E012154F034E}" name="PROPOSTA"/>
    <tableColumn id="2" xr3:uid="{A69D49A9-92C9-4359-BA58-C24FCF25383B}" name="DESCRIÇÃO DOS SERVIÇOS / MATERIAIS"/>
    <tableColumn id="3" xr3:uid="{478CEF7A-2FE3-4BB5-9EEF-8FAE8AC21285}" name="QNT"/>
    <tableColumn id="4" xr3:uid="{CD5F7F4B-DC00-41B4-B736-A675B797F409}" name="UNID"/>
    <tableColumn id="5" xr3:uid="{9FADC3E5-0FDD-4729-BFED-844845F465DB}" name="VALOR" dataDxfId="0" dataCellStyle="Moeda"/>
    <tableColumn id="6" xr3:uid="{6845BF06-A4B3-456D-8999-571AA5F775EE}" name="TOTAL" dataCellStyle="Moeda"/>
    <tableColumn id="7" xr3:uid="{0F5FD6D9-5453-4300-AAE3-56875116B1EA}" name="VALOR_BDI" dataCellStyle="Moeda"/>
    <tableColumn id="8" xr3:uid="{8A07AE98-B8A8-4F61-BB93-57ADA067CBBB}" name="TOTAL_BDI" dataCellStyle="Moeda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12998-97DB-4BB6-98FF-2E229016EAF4}">
  <sheetPr codeName="Planilha6"/>
  <dimension ref="O6"/>
  <sheetViews>
    <sheetView tabSelected="1" workbookViewId="0"/>
  </sheetViews>
  <sheetFormatPr defaultRowHeight="15" x14ac:dyDescent="0.25"/>
  <sheetData>
    <row r="6" spans="15:15" x14ac:dyDescent="0.25">
      <c r="O6" s="6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orm_Clique">
                <anchor moveWithCells="1" sizeWithCells="1">
                  <from>
                    <xdr:col>2</xdr:col>
                    <xdr:colOff>57150</xdr:colOff>
                    <xdr:row>5</xdr:row>
                    <xdr:rowOff>95250</xdr:rowOff>
                  </from>
                  <to>
                    <xdr:col>4</xdr:col>
                    <xdr:colOff>323850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1CC9E-7AD3-4671-A506-B2EC9F926EEF}">
  <sheetPr codeName="Planilha1"/>
  <dimension ref="A1:O3"/>
  <sheetViews>
    <sheetView showGridLines="0" zoomScale="85" zoomScaleNormal="85"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24.7109375" bestFit="1" customWidth="1"/>
    <col min="4" max="4" width="15.28515625" bestFit="1" customWidth="1"/>
    <col min="5" max="5" width="34" customWidth="1"/>
    <col min="6" max="6" width="16.5703125" style="1" customWidth="1"/>
    <col min="7" max="7" width="15.5703125" customWidth="1"/>
    <col min="8" max="8" width="14.5703125" style="1" customWidth="1"/>
    <col min="9" max="9" width="5.42578125" customWidth="1"/>
    <col min="10" max="10" width="10.5703125" bestFit="1" customWidth="1"/>
    <col min="11" max="11" width="12.42578125" bestFit="1" customWidth="1"/>
    <col min="12" max="12" width="8" bestFit="1" customWidth="1"/>
    <col min="13" max="13" width="11" bestFit="1" customWidth="1"/>
    <col min="14" max="14" width="10.28515625" bestFit="1" customWidth="1"/>
    <col min="15" max="15" width="10.7109375" style="60" bestFit="1" customWidth="1"/>
  </cols>
  <sheetData>
    <row r="1" spans="1:15" x14ac:dyDescent="0.25">
      <c r="A1" t="s">
        <v>4</v>
      </c>
      <c r="B1" t="s">
        <v>3</v>
      </c>
      <c r="C1" t="s">
        <v>0</v>
      </c>
      <c r="D1" t="s">
        <v>1</v>
      </c>
      <c r="E1" t="s">
        <v>2</v>
      </c>
      <c r="F1" s="1" t="s">
        <v>39</v>
      </c>
      <c r="G1" t="s">
        <v>35</v>
      </c>
      <c r="H1" s="1" t="s">
        <v>36</v>
      </c>
      <c r="I1" t="s">
        <v>54</v>
      </c>
      <c r="J1" t="s">
        <v>72</v>
      </c>
      <c r="K1" t="s">
        <v>73</v>
      </c>
      <c r="L1" t="s">
        <v>74</v>
      </c>
      <c r="M1" t="s">
        <v>75</v>
      </c>
      <c r="N1" t="s">
        <v>76</v>
      </c>
      <c r="O1" s="60" t="s">
        <v>77</v>
      </c>
    </row>
    <row r="2" spans="1:15" x14ac:dyDescent="0.25">
      <c r="A2" t="s">
        <v>67</v>
      </c>
      <c r="B2" s="60" t="s">
        <v>67</v>
      </c>
      <c r="C2" t="s">
        <v>67</v>
      </c>
      <c r="D2" t="s">
        <v>67</v>
      </c>
      <c r="E2" t="s">
        <v>67</v>
      </c>
      <c r="F2" s="1" t="s">
        <v>67</v>
      </c>
      <c r="G2" t="s">
        <v>67</v>
      </c>
      <c r="H2" s="1" t="s">
        <v>67</v>
      </c>
      <c r="I2">
        <f>ROW(Tabela1[[#This Row],[PROPOSTA]])-1</f>
        <v>1</v>
      </c>
      <c r="O2"/>
    </row>
    <row r="3" spans="1:15" x14ac:dyDescent="0.25">
      <c r="A3" s="65" t="s">
        <v>105</v>
      </c>
      <c r="B3" s="60">
        <v>44465</v>
      </c>
      <c r="C3" t="s">
        <v>95</v>
      </c>
      <c r="D3" t="s">
        <v>106</v>
      </c>
      <c r="E3" t="s">
        <v>107</v>
      </c>
      <c r="F3" s="1">
        <v>1.35</v>
      </c>
      <c r="G3" t="s">
        <v>98</v>
      </c>
      <c r="H3" s="1">
        <v>1</v>
      </c>
      <c r="I3">
        <f>ROW(Tabela1[[#This Row],[PROPOSTA]])-1</f>
        <v>2</v>
      </c>
      <c r="O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DD67F-F9F9-453E-9D14-AA2DBD5699D5}">
  <sheetPr codeName="Planilha3"/>
  <dimension ref="A1:Q290"/>
  <sheetViews>
    <sheetView showGridLines="0" workbookViewId="0">
      <selection activeCell="C10" sqref="C10"/>
    </sheetView>
  </sheetViews>
  <sheetFormatPr defaultRowHeight="15" x14ac:dyDescent="0.25"/>
  <cols>
    <col min="1" max="1" width="34.7109375" bestFit="1" customWidth="1"/>
    <col min="2" max="2" width="14.28515625" customWidth="1"/>
    <col min="3" max="3" width="18" bestFit="1" customWidth="1"/>
    <col min="4" max="4" width="14.7109375" bestFit="1" customWidth="1"/>
    <col min="5" max="5" width="12.7109375" bestFit="1" customWidth="1"/>
    <col min="6" max="6" width="6.5703125" bestFit="1" customWidth="1"/>
    <col min="7" max="7" width="12" bestFit="1" customWidth="1"/>
    <col min="8" max="8" width="29.7109375" bestFit="1" customWidth="1"/>
    <col min="10" max="10" width="21" bestFit="1" customWidth="1"/>
    <col min="12" max="12" width="11.28515625" customWidth="1"/>
    <col min="14" max="14" width="15.42578125" bestFit="1" customWidth="1"/>
    <col min="16" max="16" width="45.7109375" customWidth="1"/>
  </cols>
  <sheetData>
    <row r="1" spans="1:17" x14ac:dyDescent="0.25">
      <c r="A1" t="s">
        <v>13</v>
      </c>
      <c r="B1" t="s">
        <v>12</v>
      </c>
      <c r="C1" t="s">
        <v>40</v>
      </c>
      <c r="D1" t="s">
        <v>41</v>
      </c>
      <c r="E1" t="s">
        <v>15</v>
      </c>
      <c r="F1" t="s">
        <v>14</v>
      </c>
      <c r="G1" t="s">
        <v>97</v>
      </c>
      <c r="H1" t="s">
        <v>16</v>
      </c>
      <c r="J1" t="s">
        <v>1</v>
      </c>
      <c r="L1" t="s">
        <v>22</v>
      </c>
      <c r="N1" t="s">
        <v>35</v>
      </c>
      <c r="O1" t="s">
        <v>42</v>
      </c>
      <c r="P1" t="s">
        <v>43</v>
      </c>
      <c r="Q1" t="s">
        <v>91</v>
      </c>
    </row>
    <row r="2" spans="1:17" x14ac:dyDescent="0.25">
      <c r="A2" t="s">
        <v>95</v>
      </c>
      <c r="B2">
        <v>9999999999</v>
      </c>
      <c r="D2" t="s">
        <v>96</v>
      </c>
      <c r="J2" t="s">
        <v>11</v>
      </c>
      <c r="L2" t="s">
        <v>9</v>
      </c>
      <c r="N2" t="s">
        <v>98</v>
      </c>
      <c r="O2">
        <v>9999999</v>
      </c>
      <c r="P2" t="s">
        <v>99</v>
      </c>
      <c r="Q2" t="s">
        <v>92</v>
      </c>
    </row>
    <row r="3" spans="1:17" x14ac:dyDescent="0.25">
      <c r="A3" t="s">
        <v>95</v>
      </c>
      <c r="B3">
        <v>9999999999</v>
      </c>
      <c r="D3" t="s">
        <v>96</v>
      </c>
      <c r="J3" t="s">
        <v>17</v>
      </c>
      <c r="L3" t="s">
        <v>23</v>
      </c>
      <c r="N3" t="s">
        <v>98</v>
      </c>
      <c r="O3">
        <v>9999999</v>
      </c>
      <c r="P3" t="s">
        <v>99</v>
      </c>
      <c r="Q3" t="s">
        <v>93</v>
      </c>
    </row>
    <row r="4" spans="1:17" x14ac:dyDescent="0.25">
      <c r="A4" t="s">
        <v>95</v>
      </c>
      <c r="B4">
        <v>9999999999</v>
      </c>
      <c r="D4" t="s">
        <v>96</v>
      </c>
      <c r="J4" t="s">
        <v>18</v>
      </c>
      <c r="L4" t="s">
        <v>24</v>
      </c>
    </row>
    <row r="5" spans="1:17" x14ac:dyDescent="0.25">
      <c r="A5" t="s">
        <v>95</v>
      </c>
      <c r="B5">
        <v>9999999999</v>
      </c>
      <c r="D5" t="s">
        <v>96</v>
      </c>
      <c r="J5" t="s">
        <v>19</v>
      </c>
      <c r="L5" t="s">
        <v>25</v>
      </c>
    </row>
    <row r="6" spans="1:17" x14ac:dyDescent="0.25">
      <c r="A6" t="s">
        <v>95</v>
      </c>
      <c r="B6">
        <v>9999999999</v>
      </c>
      <c r="D6" t="s">
        <v>96</v>
      </c>
      <c r="J6" t="s">
        <v>20</v>
      </c>
      <c r="L6" t="s">
        <v>26</v>
      </c>
    </row>
    <row r="7" spans="1:17" x14ac:dyDescent="0.25">
      <c r="J7" t="s">
        <v>21</v>
      </c>
      <c r="L7" t="s">
        <v>27</v>
      </c>
    </row>
    <row r="8" spans="1:17" x14ac:dyDescent="0.25">
      <c r="J8" t="s">
        <v>69</v>
      </c>
      <c r="L8" t="s">
        <v>28</v>
      </c>
    </row>
    <row r="9" spans="1:17" x14ac:dyDescent="0.25">
      <c r="J9" t="s">
        <v>70</v>
      </c>
      <c r="L9" t="s">
        <v>29</v>
      </c>
    </row>
    <row r="10" spans="1:17" x14ac:dyDescent="0.25">
      <c r="J10" t="s">
        <v>71</v>
      </c>
      <c r="L10" t="s">
        <v>30</v>
      </c>
    </row>
    <row r="11" spans="1:17" x14ac:dyDescent="0.25">
      <c r="J11" t="s">
        <v>78</v>
      </c>
      <c r="L11" t="s">
        <v>31</v>
      </c>
    </row>
    <row r="12" spans="1:17" x14ac:dyDescent="0.25">
      <c r="J12" t="s">
        <v>94</v>
      </c>
      <c r="L12" t="s">
        <v>32</v>
      </c>
    </row>
    <row r="13" spans="1:17" x14ac:dyDescent="0.25">
      <c r="L13" t="s">
        <v>33</v>
      </c>
    </row>
    <row r="14" spans="1:17" x14ac:dyDescent="0.25">
      <c r="L14" t="s">
        <v>34</v>
      </c>
    </row>
    <row r="32" spans="3:3" x14ac:dyDescent="0.25">
      <c r="C32" s="65"/>
    </row>
    <row r="60" spans="3:8" x14ac:dyDescent="0.25">
      <c r="H60" s="59"/>
    </row>
    <row r="62" spans="3:8" x14ac:dyDescent="0.25">
      <c r="C62" s="65"/>
    </row>
    <row r="63" spans="3:8" x14ac:dyDescent="0.25">
      <c r="C63" s="65"/>
    </row>
    <row r="279" spans="14:17" x14ac:dyDescent="0.25">
      <c r="Q279" s="65"/>
    </row>
    <row r="280" spans="14:17" x14ac:dyDescent="0.25">
      <c r="N280" s="62"/>
      <c r="P280" s="62"/>
    </row>
    <row r="281" spans="14:17" x14ac:dyDescent="0.25">
      <c r="N281" s="62"/>
      <c r="P281" s="62"/>
    </row>
    <row r="282" spans="14:17" x14ac:dyDescent="0.25">
      <c r="N282" s="62"/>
      <c r="P282" s="62"/>
    </row>
    <row r="283" spans="14:17" x14ac:dyDescent="0.25">
      <c r="N283" s="62"/>
      <c r="P283" s="62"/>
    </row>
    <row r="284" spans="14:17" x14ac:dyDescent="0.25">
      <c r="N284" s="62"/>
      <c r="P284" s="62"/>
    </row>
    <row r="285" spans="14:17" x14ac:dyDescent="0.25">
      <c r="N285" s="62"/>
      <c r="P285" s="62"/>
    </row>
    <row r="286" spans="14:17" x14ac:dyDescent="0.25">
      <c r="P286" s="62"/>
    </row>
    <row r="287" spans="14:17" x14ac:dyDescent="0.25">
      <c r="P287" s="62"/>
    </row>
    <row r="288" spans="14:17" x14ac:dyDescent="0.25">
      <c r="N288" s="62"/>
      <c r="P288" s="62"/>
    </row>
    <row r="289" spans="14:16" x14ac:dyDescent="0.25">
      <c r="N289" s="62"/>
      <c r="P289" s="62"/>
    </row>
    <row r="290" spans="14:16" x14ac:dyDescent="0.25">
      <c r="N290" s="62"/>
      <c r="P290" s="62"/>
    </row>
  </sheetData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2106D-40CD-4450-8AB8-3459841DB831}">
  <sheetPr codeName="Planilha2"/>
  <dimension ref="A1:H2"/>
  <sheetViews>
    <sheetView showGridLines="0" workbookViewId="0">
      <selection activeCell="B23" sqref="B23"/>
    </sheetView>
  </sheetViews>
  <sheetFormatPr defaultRowHeight="15" x14ac:dyDescent="0.25"/>
  <cols>
    <col min="1" max="1" width="12.7109375" customWidth="1"/>
    <col min="2" max="2" width="37.5703125" customWidth="1"/>
    <col min="5" max="5" width="16.28515625" style="1" customWidth="1"/>
    <col min="6" max="6" width="15.5703125" style="1" customWidth="1"/>
    <col min="7" max="7" width="13.28515625" style="1" bestFit="1" customWidth="1"/>
    <col min="8" max="8" width="14.28515625" style="1" customWidth="1"/>
  </cols>
  <sheetData>
    <row r="1" spans="1:8" x14ac:dyDescent="0.25">
      <c r="A1" t="s">
        <v>4</v>
      </c>
      <c r="B1" t="s">
        <v>5</v>
      </c>
      <c r="C1" t="s">
        <v>6</v>
      </c>
      <c r="D1" t="s">
        <v>7</v>
      </c>
      <c r="E1" s="1" t="s">
        <v>8</v>
      </c>
      <c r="F1" s="1" t="s">
        <v>10</v>
      </c>
      <c r="G1" s="1" t="s">
        <v>37</v>
      </c>
      <c r="H1" s="1" t="s">
        <v>38</v>
      </c>
    </row>
    <row r="2" spans="1:8" x14ac:dyDescent="0.25">
      <c r="B2" t="s">
        <v>106</v>
      </c>
      <c r="C2" t="s">
        <v>68</v>
      </c>
      <c r="D2" t="s">
        <v>9</v>
      </c>
      <c r="E2" s="1" t="s">
        <v>68</v>
      </c>
      <c r="F2" s="1">
        <f>Tabela2[[#This Row],[VALOR]]*Tabela2[[#This Row],[QNT]]</f>
        <v>1</v>
      </c>
      <c r="G2" s="1">
        <v>1.35</v>
      </c>
      <c r="H2" s="1">
        <f>Tabela2[[#This Row],[VALOR_BDI]]*Tabela2[[#This Row],[QNT]]</f>
        <v>1.35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45CE-D922-45D0-B251-6527F5C54F4D}">
  <sheetPr codeName="Planilha9"/>
  <dimension ref="A1:H2"/>
  <sheetViews>
    <sheetView showGridLines="0" workbookViewId="0">
      <selection activeCell="A2" sqref="A2"/>
    </sheetView>
  </sheetViews>
  <sheetFormatPr defaultRowHeight="15" x14ac:dyDescent="0.25"/>
  <cols>
    <col min="1" max="1" width="12.7109375" bestFit="1" customWidth="1"/>
    <col min="2" max="2" width="38.7109375" bestFit="1" customWidth="1"/>
    <col min="3" max="3" width="7.28515625" bestFit="1" customWidth="1"/>
    <col min="4" max="4" width="8" bestFit="1" customWidth="1"/>
    <col min="5" max="5" width="10.7109375" bestFit="1" customWidth="1"/>
    <col min="6" max="6" width="10.28515625" bestFit="1" customWidth="1"/>
    <col min="7" max="7" width="14.7109375" bestFit="1" customWidth="1"/>
    <col min="8" max="8" width="14.28515625" bestFit="1" customWidth="1"/>
  </cols>
  <sheetData>
    <row r="1" spans="1:8" x14ac:dyDescent="0.25">
      <c r="A1" t="s">
        <v>4</v>
      </c>
      <c r="B1" t="s">
        <v>5</v>
      </c>
      <c r="C1" t="s">
        <v>6</v>
      </c>
      <c r="D1" t="s">
        <v>7</v>
      </c>
      <c r="E1" s="1" t="s">
        <v>8</v>
      </c>
      <c r="F1" s="1" t="s">
        <v>10</v>
      </c>
      <c r="G1" s="1" t="s">
        <v>37</v>
      </c>
      <c r="H1" s="1" t="s">
        <v>38</v>
      </c>
    </row>
    <row r="2" spans="1:8" x14ac:dyDescent="0.25">
      <c r="A2" t="s">
        <v>105</v>
      </c>
      <c r="B2" t="s">
        <v>106</v>
      </c>
      <c r="C2" t="s">
        <v>68</v>
      </c>
      <c r="D2" t="s">
        <v>9</v>
      </c>
      <c r="E2" s="1" t="s">
        <v>68</v>
      </c>
      <c r="F2" s="1"/>
      <c r="G2" s="1">
        <v>1.35</v>
      </c>
      <c r="H2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B6911-D480-4340-AF8F-7F4204A8D2BB}">
  <sheetPr codeName="Planilha5"/>
  <dimension ref="A1:C146"/>
  <sheetViews>
    <sheetView workbookViewId="0"/>
  </sheetViews>
  <sheetFormatPr defaultRowHeight="15" x14ac:dyDescent="0.25"/>
  <cols>
    <col min="1" max="1" width="2" bestFit="1" customWidth="1"/>
    <col min="2" max="2" width="19.7109375" bestFit="1" customWidth="1"/>
    <col min="3" max="3" width="24.7109375" bestFit="1" customWidth="1"/>
  </cols>
  <sheetData>
    <row r="1" spans="1:3" x14ac:dyDescent="0.25">
      <c r="A1" s="57" t="s">
        <v>66</v>
      </c>
      <c r="B1" s="58" t="s">
        <v>65</v>
      </c>
      <c r="C1" s="58" t="s">
        <v>64</v>
      </c>
    </row>
    <row r="2" spans="1:3" x14ac:dyDescent="0.25">
      <c r="A2" t="s">
        <v>67</v>
      </c>
      <c r="B2" t="s">
        <v>67</v>
      </c>
      <c r="C2" t="s">
        <v>67</v>
      </c>
    </row>
    <row r="3" spans="1:3" x14ac:dyDescent="0.25">
      <c r="B3" t="s">
        <v>105</v>
      </c>
      <c r="C3" t="s">
        <v>95</v>
      </c>
    </row>
    <row r="146" spans="3:3" x14ac:dyDescent="0.25">
      <c r="C146" s="66"/>
    </row>
  </sheetData>
  <dataConsolidate link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5BDEB-ED27-4CCB-9AB8-3C1DBA6A36A4}">
  <sheetPr codeName="Planilha7"/>
  <dimension ref="A1:M52"/>
  <sheetViews>
    <sheetView workbookViewId="0"/>
  </sheetViews>
  <sheetFormatPr defaultRowHeight="15" x14ac:dyDescent="0.25"/>
  <cols>
    <col min="1" max="1" width="11.42578125" bestFit="1" customWidth="1"/>
    <col min="2" max="3" width="17.7109375" style="62" bestFit="1" customWidth="1"/>
    <col min="4" max="4" width="8.7109375" bestFit="1" customWidth="1"/>
    <col min="5" max="5" width="12.7109375" style="62" bestFit="1" customWidth="1"/>
    <col min="6" max="6" width="16.7109375" bestFit="1" customWidth="1"/>
    <col min="7" max="7" width="13.7109375" bestFit="1" customWidth="1"/>
    <col min="8" max="8" width="11.42578125" bestFit="1" customWidth="1"/>
    <col min="9" max="10" width="12.7109375" style="62" bestFit="1" customWidth="1"/>
    <col min="11" max="11" width="17.7109375" style="62" bestFit="1" customWidth="1"/>
    <col min="12" max="12" width="10.5703125" style="62" bestFit="1" customWidth="1"/>
    <col min="13" max="13" width="8.7109375" style="62" bestFit="1" customWidth="1"/>
  </cols>
  <sheetData>
    <row r="1" spans="1:13" x14ac:dyDescent="0.25">
      <c r="A1" s="63" t="s">
        <v>90</v>
      </c>
      <c r="B1" s="63" t="s">
        <v>89</v>
      </c>
      <c r="C1" s="63" t="s">
        <v>81</v>
      </c>
      <c r="D1" s="63" t="s">
        <v>88</v>
      </c>
      <c r="E1" s="63" t="s">
        <v>87</v>
      </c>
      <c r="F1" s="63" t="s">
        <v>86</v>
      </c>
      <c r="G1" s="63" t="s">
        <v>85</v>
      </c>
      <c r="H1" s="63" t="s">
        <v>84</v>
      </c>
      <c r="I1" s="63" t="s">
        <v>83</v>
      </c>
      <c r="J1" s="63" t="s">
        <v>82</v>
      </c>
      <c r="K1" s="63" t="s">
        <v>81</v>
      </c>
      <c r="L1" s="63" t="s">
        <v>80</v>
      </c>
      <c r="M1" s="63" t="s">
        <v>79</v>
      </c>
    </row>
    <row r="16" spans="1:13" x14ac:dyDescent="0.25">
      <c r="M16" s="64"/>
    </row>
    <row r="17" spans="13:13" x14ac:dyDescent="0.25">
      <c r="M17" s="64"/>
    </row>
    <row r="18" spans="13:13" x14ac:dyDescent="0.25">
      <c r="M18" s="64"/>
    </row>
    <row r="19" spans="13:13" x14ac:dyDescent="0.25">
      <c r="M19" s="64"/>
    </row>
    <row r="20" spans="13:13" x14ac:dyDescent="0.25">
      <c r="M20" s="64"/>
    </row>
    <row r="21" spans="13:13" x14ac:dyDescent="0.25">
      <c r="M21" s="64"/>
    </row>
    <row r="22" spans="13:13" x14ac:dyDescent="0.25">
      <c r="M22" s="64"/>
    </row>
    <row r="23" spans="13:13" x14ac:dyDescent="0.25">
      <c r="M23" s="64"/>
    </row>
    <row r="24" spans="13:13" x14ac:dyDescent="0.25">
      <c r="M24" s="64"/>
    </row>
    <row r="25" spans="13:13" x14ac:dyDescent="0.25">
      <c r="M25" s="64"/>
    </row>
    <row r="26" spans="13:13" x14ac:dyDescent="0.25">
      <c r="M26" s="64"/>
    </row>
    <row r="27" spans="13:13" x14ac:dyDescent="0.25">
      <c r="M27" s="64"/>
    </row>
    <row r="28" spans="13:13" x14ac:dyDescent="0.25">
      <c r="M28" s="64"/>
    </row>
    <row r="29" spans="13:13" x14ac:dyDescent="0.25">
      <c r="M29" s="64"/>
    </row>
    <row r="30" spans="13:13" x14ac:dyDescent="0.25">
      <c r="M30" s="64"/>
    </row>
    <row r="31" spans="13:13" x14ac:dyDescent="0.25">
      <c r="M31" s="64"/>
    </row>
    <row r="32" spans="13:13" x14ac:dyDescent="0.25">
      <c r="M32" s="64"/>
    </row>
    <row r="33" spans="13:13" x14ac:dyDescent="0.25">
      <c r="M33" s="64"/>
    </row>
    <row r="34" spans="13:13" x14ac:dyDescent="0.25">
      <c r="M34" s="64"/>
    </row>
    <row r="35" spans="13:13" x14ac:dyDescent="0.25">
      <c r="M35" s="64"/>
    </row>
    <row r="36" spans="13:13" x14ac:dyDescent="0.25">
      <c r="M36" s="64"/>
    </row>
    <row r="37" spans="13:13" x14ac:dyDescent="0.25">
      <c r="M37" s="64"/>
    </row>
    <row r="38" spans="13:13" x14ac:dyDescent="0.25">
      <c r="M38" s="64"/>
    </row>
    <row r="39" spans="13:13" x14ac:dyDescent="0.25">
      <c r="M39" s="64"/>
    </row>
    <row r="40" spans="13:13" x14ac:dyDescent="0.25">
      <c r="M40" s="64"/>
    </row>
    <row r="41" spans="13:13" x14ac:dyDescent="0.25">
      <c r="M41" s="64"/>
    </row>
    <row r="42" spans="13:13" x14ac:dyDescent="0.25">
      <c r="M42" s="64"/>
    </row>
    <row r="43" spans="13:13" x14ac:dyDescent="0.25">
      <c r="M43" s="64"/>
    </row>
    <row r="44" spans="13:13" x14ac:dyDescent="0.25">
      <c r="M44" s="64"/>
    </row>
    <row r="45" spans="13:13" x14ac:dyDescent="0.25">
      <c r="M45" s="64"/>
    </row>
    <row r="46" spans="13:13" x14ac:dyDescent="0.25">
      <c r="M46" s="64"/>
    </row>
    <row r="47" spans="13:13" x14ac:dyDescent="0.25">
      <c r="M47" s="64"/>
    </row>
    <row r="48" spans="13:13" x14ac:dyDescent="0.25">
      <c r="M48" s="64"/>
    </row>
    <row r="49" spans="13:13" x14ac:dyDescent="0.25">
      <c r="M49" s="64"/>
    </row>
    <row r="50" spans="13:13" x14ac:dyDescent="0.25">
      <c r="M50" s="64"/>
    </row>
    <row r="51" spans="13:13" x14ac:dyDescent="0.25">
      <c r="M51" s="64"/>
    </row>
    <row r="52" spans="13:13" x14ac:dyDescent="0.25">
      <c r="M52" s="64"/>
    </row>
  </sheetData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364DE-62DB-4285-8B24-BE246872ADC3}">
  <sheetPr codeName="Planilha4">
    <pageSetUpPr fitToPage="1"/>
  </sheetPr>
  <dimension ref="B1:AG131"/>
  <sheetViews>
    <sheetView showGridLines="0" zoomScale="70" zoomScaleNormal="70" workbookViewId="0">
      <selection activeCell="Y25" sqref="Y25"/>
    </sheetView>
  </sheetViews>
  <sheetFormatPr defaultColWidth="11.42578125" defaultRowHeight="15" x14ac:dyDescent="0.2"/>
  <cols>
    <col min="1" max="1" width="6.7109375" style="2" customWidth="1"/>
    <col min="2" max="2" width="2.5703125" style="6" customWidth="1"/>
    <col min="3" max="5" width="2.7109375" style="6" customWidth="1"/>
    <col min="6" max="6" width="2.5703125" style="6" customWidth="1"/>
    <col min="7" max="12" width="2.7109375" style="6" customWidth="1"/>
    <col min="13" max="16" width="7.28515625" style="6" customWidth="1"/>
    <col min="17" max="17" width="4.42578125" style="6" customWidth="1"/>
    <col min="18" max="18" width="7.28515625" style="6" customWidth="1"/>
    <col min="19" max="20" width="6.28515625" style="6" customWidth="1"/>
    <col min="21" max="21" width="7.28515625" style="5" customWidth="1"/>
    <col min="22" max="22" width="7.28515625" style="4" customWidth="1"/>
    <col min="23" max="23" width="10" style="4" customWidth="1"/>
    <col min="24" max="24" width="18.7109375" style="4" customWidth="1"/>
    <col min="25" max="25" width="22" style="4" customWidth="1"/>
    <col min="26" max="33" width="14.7109375" style="3" customWidth="1"/>
    <col min="34" max="16384" width="11.42578125" style="2"/>
  </cols>
  <sheetData>
    <row r="1" spans="2:33" ht="22.5" customHeight="1" thickBot="1" x14ac:dyDescent="0.25"/>
    <row r="2" spans="2:33" ht="26.25" customHeight="1" x14ac:dyDescent="0.2">
      <c r="B2" s="100" t="s">
        <v>62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2"/>
    </row>
    <row r="3" spans="2:33" ht="26.25" customHeight="1" x14ac:dyDescent="0.2">
      <c r="B3" s="103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5"/>
      <c r="Y3" s="106"/>
    </row>
    <row r="4" spans="2:33" ht="18.75" customHeight="1" x14ac:dyDescent="0.2">
      <c r="B4" s="107" t="s">
        <v>61</v>
      </c>
      <c r="C4" s="108"/>
      <c r="D4" s="108"/>
      <c r="E4" s="108"/>
      <c r="F4" s="108"/>
      <c r="G4" s="108"/>
      <c r="H4" s="108"/>
      <c r="I4" s="109"/>
      <c r="J4" s="109"/>
      <c r="K4" s="109"/>
      <c r="L4" s="109"/>
      <c r="M4" s="109"/>
      <c r="N4" s="45"/>
      <c r="O4" s="110" t="s">
        <v>60</v>
      </c>
      <c r="P4" s="110"/>
      <c r="Q4" s="110"/>
      <c r="R4" s="110"/>
      <c r="S4" s="113"/>
      <c r="T4" s="113"/>
      <c r="U4" s="114"/>
      <c r="V4" s="35" t="s">
        <v>100</v>
      </c>
      <c r="W4" s="44"/>
      <c r="X4" s="43"/>
      <c r="Y4" s="41"/>
    </row>
    <row r="5" spans="2:33" ht="18.75" customHeight="1" x14ac:dyDescent="0.25">
      <c r="B5" s="72" t="s">
        <v>59</v>
      </c>
      <c r="C5" s="73"/>
      <c r="D5" s="73"/>
      <c r="E5" s="73"/>
      <c r="F5" s="73"/>
      <c r="G5" s="73"/>
      <c r="H5" s="73"/>
      <c r="I5" s="61"/>
      <c r="J5"/>
      <c r="K5"/>
      <c r="L5"/>
      <c r="M5"/>
      <c r="N5"/>
      <c r="O5"/>
      <c r="P5"/>
      <c r="Q5"/>
      <c r="R5"/>
      <c r="S5"/>
      <c r="T5"/>
      <c r="U5"/>
      <c r="V5" s="35" t="s">
        <v>101</v>
      </c>
      <c r="W5" s="34"/>
      <c r="X5" s="33"/>
      <c r="Y5" s="41"/>
    </row>
    <row r="6" spans="2:33" ht="18.75" customHeight="1" x14ac:dyDescent="0.25">
      <c r="B6" s="72" t="s">
        <v>58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115"/>
      <c r="P6" s="115"/>
      <c r="Q6" s="42"/>
      <c r="R6" s="42"/>
      <c r="S6" s="42"/>
      <c r="T6" s="42"/>
      <c r="U6" s="42"/>
      <c r="V6" s="35" t="s">
        <v>102</v>
      </c>
      <c r="W6" s="39"/>
      <c r="X6" s="38"/>
      <c r="Y6" s="32"/>
      <c r="Z6" s="40"/>
      <c r="AA6" s="15"/>
    </row>
    <row r="7" spans="2:33" s="7" customFormat="1" ht="18.75" customHeight="1" x14ac:dyDescent="0.25">
      <c r="B7" s="72" t="s">
        <v>57</v>
      </c>
      <c r="C7" s="73"/>
      <c r="D7" s="73"/>
      <c r="E7" s="73"/>
      <c r="F7" s="73"/>
      <c r="G7" s="73"/>
      <c r="H7" s="73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2"/>
      <c r="V7" s="35" t="s">
        <v>103</v>
      </c>
      <c r="W7" s="34"/>
      <c r="X7" s="33"/>
      <c r="Y7" s="32"/>
      <c r="Z7" s="8"/>
      <c r="AA7" s="8"/>
      <c r="AB7" s="8"/>
      <c r="AC7" s="8"/>
      <c r="AD7" s="8"/>
      <c r="AE7" s="8"/>
      <c r="AF7" s="8"/>
      <c r="AG7" s="8"/>
    </row>
    <row r="8" spans="2:33" s="7" customFormat="1" ht="18.75" customHeight="1" x14ac:dyDescent="0.25">
      <c r="B8" s="72" t="s">
        <v>56</v>
      </c>
      <c r="C8" s="73"/>
      <c r="D8" s="73"/>
      <c r="E8" s="73"/>
      <c r="F8" s="73"/>
      <c r="G8" s="73"/>
      <c r="H8" s="61"/>
      <c r="I8"/>
      <c r="J8"/>
      <c r="K8"/>
      <c r="L8"/>
      <c r="M8"/>
      <c r="N8"/>
      <c r="O8"/>
      <c r="P8"/>
      <c r="Q8"/>
      <c r="R8"/>
      <c r="S8"/>
      <c r="T8"/>
      <c r="U8"/>
      <c r="V8" s="46" t="s">
        <v>104</v>
      </c>
      <c r="W8" s="47"/>
      <c r="X8" s="48"/>
      <c r="Y8" s="49"/>
      <c r="Z8" s="8"/>
      <c r="AA8" s="8"/>
      <c r="AB8" s="8"/>
      <c r="AC8" s="8"/>
      <c r="AD8" s="8"/>
      <c r="AE8" s="8"/>
      <c r="AF8" s="8"/>
      <c r="AG8" s="8"/>
    </row>
    <row r="9" spans="2:33" s="7" customFormat="1" ht="19.5" customHeight="1" x14ac:dyDescent="0.25">
      <c r="B9" s="37" t="s">
        <v>55</v>
      </c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Y9" s="50"/>
      <c r="Z9" s="8"/>
      <c r="AA9" s="15"/>
      <c r="AB9" s="8"/>
      <c r="AC9" s="3"/>
      <c r="AD9" s="3"/>
      <c r="AE9" s="3"/>
      <c r="AF9" s="3"/>
      <c r="AG9" s="8"/>
    </row>
    <row r="10" spans="2:33" s="30" customFormat="1" ht="21.75" customHeight="1" x14ac:dyDescent="0.2">
      <c r="B10" s="79"/>
      <c r="C10" s="80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0"/>
      <c r="X10" s="80"/>
      <c r="Y10" s="82"/>
      <c r="Z10" s="3"/>
      <c r="AA10" s="56"/>
      <c r="AB10" s="8"/>
      <c r="AC10" s="31"/>
      <c r="AD10" s="31"/>
      <c r="AE10" s="31"/>
      <c r="AF10" s="31"/>
      <c r="AG10" s="31"/>
    </row>
    <row r="11" spans="2:33" ht="16.5" customHeight="1" x14ac:dyDescent="0.2">
      <c r="B11" s="92" t="s">
        <v>54</v>
      </c>
      <c r="C11" s="93"/>
      <c r="D11" s="94" t="s">
        <v>5</v>
      </c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6"/>
      <c r="V11" s="29" t="s">
        <v>6</v>
      </c>
      <c r="W11" s="28" t="s">
        <v>7</v>
      </c>
      <c r="X11" s="27" t="s">
        <v>8</v>
      </c>
      <c r="Y11" s="55" t="s">
        <v>53</v>
      </c>
      <c r="Z11" s="2"/>
      <c r="AA11" s="15"/>
      <c r="AB11" s="8"/>
      <c r="AC11" s="8"/>
      <c r="AD11" s="8"/>
      <c r="AE11" s="8"/>
      <c r="AF11" s="8"/>
    </row>
    <row r="12" spans="2:33" ht="20.100000000000001" customHeight="1" x14ac:dyDescent="0.2">
      <c r="B12" s="67"/>
      <c r="C12" s="68"/>
      <c r="D12" s="69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1"/>
      <c r="V12" s="26"/>
      <c r="W12" s="25"/>
      <c r="X12" s="24"/>
      <c r="Y12" s="52">
        <f>X12*V12</f>
        <v>0</v>
      </c>
      <c r="AA12" s="15"/>
      <c r="AB12" s="23"/>
      <c r="AC12" s="8"/>
      <c r="AD12" s="8"/>
      <c r="AE12" s="8"/>
      <c r="AF12" s="8"/>
    </row>
    <row r="13" spans="2:33" ht="4.5" customHeight="1" thickBot="1" x14ac:dyDescent="0.25">
      <c r="B13" s="97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9"/>
      <c r="AA13" s="15"/>
    </row>
    <row r="14" spans="2:33" ht="20.100000000000001" customHeight="1" thickBot="1" x14ac:dyDescent="0.25">
      <c r="B14" s="90"/>
      <c r="C14" s="91"/>
      <c r="D14" s="83"/>
      <c r="E14" s="84"/>
      <c r="F14" s="84"/>
      <c r="G14" s="84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6"/>
      <c r="V14" s="51"/>
      <c r="W14" s="51"/>
      <c r="X14" s="53" t="s">
        <v>63</v>
      </c>
      <c r="Y14" s="54">
        <f>SUM(Y12:Y13)</f>
        <v>0</v>
      </c>
      <c r="AA14" s="15"/>
      <c r="AB14" s="23"/>
      <c r="AC14" s="8"/>
      <c r="AD14" s="8"/>
      <c r="AE14" s="8"/>
      <c r="AF14" s="8"/>
    </row>
    <row r="15" spans="2:33" ht="26.25" customHeight="1" x14ac:dyDescent="0.2">
      <c r="B15" s="74" t="s">
        <v>52</v>
      </c>
      <c r="C15" s="75"/>
      <c r="D15" s="75"/>
      <c r="E15" s="75"/>
      <c r="F15" s="75"/>
      <c r="G15" s="75"/>
      <c r="H15" s="87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9"/>
      <c r="Z15" s="22"/>
      <c r="AA15" s="15"/>
    </row>
    <row r="16" spans="2:33" ht="33" customHeight="1" x14ac:dyDescent="0.2">
      <c r="B16" s="74"/>
      <c r="C16" s="76"/>
      <c r="D16" s="76"/>
      <c r="E16" s="76"/>
      <c r="F16" s="76"/>
      <c r="G16" s="76"/>
      <c r="H16" s="119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1"/>
      <c r="Z16" s="22"/>
      <c r="AA16" s="15"/>
    </row>
    <row r="17" spans="2:33" ht="33.75" customHeight="1" x14ac:dyDescent="0.2">
      <c r="B17" s="77"/>
      <c r="C17" s="78"/>
      <c r="D17" s="78"/>
      <c r="E17" s="78"/>
      <c r="F17" s="78"/>
      <c r="G17" s="78"/>
      <c r="H17" s="124" t="s">
        <v>51</v>
      </c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6"/>
      <c r="Z17" s="22"/>
      <c r="AA17" s="15"/>
      <c r="AB17" s="8"/>
      <c r="AC17" s="8"/>
      <c r="AD17" s="8"/>
      <c r="AE17" s="8"/>
      <c r="AF17" s="8"/>
    </row>
    <row r="18" spans="2:33" s="16" customFormat="1" ht="21" customHeight="1" x14ac:dyDescent="0.25">
      <c r="B18" s="117" t="s">
        <v>50</v>
      </c>
      <c r="C18" s="118"/>
      <c r="D18" s="118"/>
      <c r="E18" s="118"/>
      <c r="F18" s="118"/>
      <c r="G18" s="118"/>
      <c r="H18" s="118"/>
      <c r="I18" s="118"/>
      <c r="J18" s="21" t="s">
        <v>49</v>
      </c>
      <c r="K18" s="21"/>
      <c r="L18" s="21"/>
      <c r="M18" s="21"/>
      <c r="O18" s="21"/>
      <c r="P18" s="21"/>
      <c r="Q18" s="21"/>
      <c r="R18" s="21"/>
      <c r="S18" s="21"/>
      <c r="T18" s="21"/>
      <c r="U18" s="21"/>
      <c r="V18" s="21"/>
      <c r="W18" s="127" t="s">
        <v>48</v>
      </c>
      <c r="X18" s="127"/>
      <c r="Y18" s="20" t="s">
        <v>47</v>
      </c>
      <c r="AA18" s="15"/>
      <c r="AB18" s="19"/>
      <c r="AC18" s="19"/>
      <c r="AD18" s="19"/>
      <c r="AE18" s="19"/>
      <c r="AF18" s="19"/>
    </row>
    <row r="19" spans="2:33" s="16" customFormat="1" ht="21" customHeight="1" thickBot="1" x14ac:dyDescent="0.25">
      <c r="B19" s="122" t="s">
        <v>46</v>
      </c>
      <c r="C19" s="123"/>
      <c r="D19" s="123"/>
      <c r="E19" s="123"/>
      <c r="F19" s="123"/>
      <c r="G19" s="123"/>
      <c r="H19" s="123"/>
      <c r="I19" s="123"/>
      <c r="J19" s="123"/>
      <c r="K19" s="18" t="s">
        <v>45</v>
      </c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16" t="s">
        <v>44</v>
      </c>
      <c r="X19" s="116"/>
      <c r="Y19" s="17" t="s">
        <v>49</v>
      </c>
      <c r="AA19" s="15"/>
    </row>
    <row r="20" spans="2:33" ht="10.5" customHeight="1" x14ac:dyDescent="0.2">
      <c r="U20" s="12"/>
      <c r="AA20" s="15"/>
    </row>
    <row r="21" spans="2:33" ht="10.5" customHeight="1" x14ac:dyDescent="0.2">
      <c r="U21" s="12"/>
      <c r="AA21" s="15"/>
    </row>
    <row r="22" spans="2:33" s="7" customFormat="1" ht="17.25" customHeight="1" x14ac:dyDescent="0.2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12"/>
      <c r="V22" s="4"/>
      <c r="W22" s="4"/>
      <c r="X22" s="4"/>
      <c r="Y22" s="9"/>
      <c r="Z22" s="8"/>
      <c r="AA22" s="15"/>
      <c r="AB22" s="8"/>
      <c r="AC22" s="8"/>
      <c r="AD22" s="8"/>
      <c r="AE22" s="8"/>
      <c r="AF22" s="8"/>
      <c r="AG22" s="8"/>
    </row>
    <row r="23" spans="2:33" x14ac:dyDescent="0.2">
      <c r="U23" s="12"/>
    </row>
    <row r="24" spans="2:33" s="4" customFormat="1" ht="15.75" x14ac:dyDescent="0.2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3"/>
      <c r="Z24" s="3"/>
      <c r="AA24" s="3"/>
      <c r="AB24" s="14"/>
      <c r="AC24" s="14"/>
      <c r="AD24" s="14"/>
      <c r="AE24" s="14"/>
      <c r="AF24" s="14"/>
      <c r="AG24" s="14"/>
    </row>
    <row r="25" spans="2:33" s="4" customFormat="1" ht="15.75" x14ac:dyDescent="0.2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3"/>
      <c r="Z25" s="3"/>
      <c r="AA25" s="3"/>
      <c r="AB25" s="14"/>
      <c r="AC25" s="14"/>
      <c r="AD25" s="14"/>
      <c r="AE25" s="14"/>
      <c r="AF25" s="14"/>
      <c r="AG25" s="14"/>
    </row>
    <row r="26" spans="2:33" s="4" customFormat="1" x14ac:dyDescent="0.2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12"/>
      <c r="Z26" s="3"/>
      <c r="AA26" s="3"/>
      <c r="AB26" s="14"/>
      <c r="AC26" s="14"/>
      <c r="AD26" s="14"/>
      <c r="AE26" s="14"/>
      <c r="AF26" s="14"/>
      <c r="AG26" s="14"/>
    </row>
    <row r="27" spans="2:33" s="4" customFormat="1" x14ac:dyDescent="0.2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12"/>
      <c r="Z27" s="3"/>
      <c r="AA27" s="3"/>
      <c r="AB27" s="14"/>
      <c r="AC27" s="14"/>
      <c r="AD27" s="14"/>
      <c r="AE27" s="14"/>
      <c r="AF27" s="14"/>
      <c r="AG27" s="14"/>
    </row>
    <row r="28" spans="2:33" s="4" customFormat="1" x14ac:dyDescent="0.2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12"/>
      <c r="Z28" s="3"/>
      <c r="AA28" s="3"/>
      <c r="AB28" s="14"/>
      <c r="AC28" s="14"/>
      <c r="AD28" s="14"/>
      <c r="AE28" s="14"/>
      <c r="AF28" s="14"/>
      <c r="AG28" s="14"/>
    </row>
    <row r="29" spans="2:33" s="4" customFormat="1" x14ac:dyDescent="0.2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12"/>
      <c r="Z29" s="3"/>
      <c r="AA29" s="3"/>
      <c r="AB29" s="14"/>
      <c r="AC29" s="14"/>
      <c r="AD29" s="14"/>
      <c r="AE29" s="14"/>
      <c r="AF29" s="14"/>
      <c r="AG29" s="14"/>
    </row>
    <row r="30" spans="2:33" s="4" customFormat="1" ht="15.75" x14ac:dyDescent="0.2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3"/>
      <c r="Z30" s="3"/>
      <c r="AA30" s="3"/>
      <c r="AB30" s="14"/>
      <c r="AC30" s="14"/>
      <c r="AD30" s="14"/>
      <c r="AE30" s="14"/>
      <c r="AF30" s="14"/>
      <c r="AG30" s="14"/>
    </row>
    <row r="31" spans="2:33" s="4" customFormat="1" ht="15.75" x14ac:dyDescent="0.2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13"/>
      <c r="Z31" s="3"/>
      <c r="AA31" s="3"/>
      <c r="AB31" s="14"/>
      <c r="AC31" s="14"/>
      <c r="AD31" s="14"/>
      <c r="AE31" s="14"/>
      <c r="AF31" s="14"/>
      <c r="AG31" s="14"/>
    </row>
    <row r="32" spans="2:33" s="4" customFormat="1" x14ac:dyDescent="0.2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12"/>
      <c r="Z32" s="3"/>
      <c r="AA32" s="3"/>
      <c r="AB32" s="14"/>
      <c r="AC32" s="14"/>
      <c r="AD32" s="14"/>
      <c r="AE32" s="14"/>
      <c r="AF32" s="14"/>
      <c r="AG32" s="14"/>
    </row>
    <row r="33" spans="2:33" s="4" customFormat="1" x14ac:dyDescent="0.2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12"/>
      <c r="Z33" s="3"/>
      <c r="AA33" s="3"/>
      <c r="AB33" s="14"/>
      <c r="AC33" s="14"/>
      <c r="AD33" s="14"/>
      <c r="AE33" s="14"/>
      <c r="AF33" s="14"/>
      <c r="AG33" s="14"/>
    </row>
    <row r="34" spans="2:33" s="4" customFormat="1" x14ac:dyDescent="0.2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12"/>
      <c r="Z34" s="3"/>
      <c r="AA34" s="3"/>
      <c r="AB34" s="14"/>
      <c r="AC34" s="14"/>
      <c r="AD34" s="14"/>
      <c r="AE34" s="14"/>
      <c r="AF34" s="14"/>
      <c r="AG34" s="14"/>
    </row>
    <row r="35" spans="2:33" s="4" customFormat="1" x14ac:dyDescent="0.2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12"/>
      <c r="Z35" s="3"/>
      <c r="AA35" s="3"/>
      <c r="AB35" s="14"/>
      <c r="AC35" s="14"/>
      <c r="AD35" s="14"/>
      <c r="AE35" s="14"/>
      <c r="AF35" s="14"/>
      <c r="AG35" s="14"/>
    </row>
    <row r="36" spans="2:33" s="4" customFormat="1" x14ac:dyDescent="0.2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12"/>
      <c r="Z36" s="3"/>
      <c r="AA36" s="3"/>
      <c r="AB36" s="14"/>
      <c r="AC36" s="14"/>
      <c r="AD36" s="14"/>
      <c r="AE36" s="14"/>
      <c r="AF36" s="14"/>
      <c r="AG36" s="14"/>
    </row>
    <row r="37" spans="2:33" s="4" customFormat="1" ht="15.75" x14ac:dyDescent="0.2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3"/>
      <c r="Z37" s="3"/>
      <c r="AA37" s="3"/>
      <c r="AB37" s="14"/>
      <c r="AC37" s="14"/>
      <c r="AD37" s="14"/>
      <c r="AE37" s="14"/>
      <c r="AF37" s="14"/>
      <c r="AG37" s="14"/>
    </row>
    <row r="38" spans="2:33" s="4" customFormat="1" x14ac:dyDescent="0.2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12"/>
      <c r="Z38" s="3"/>
      <c r="AA38" s="3"/>
      <c r="AB38" s="14"/>
      <c r="AC38" s="14"/>
      <c r="AD38" s="14"/>
      <c r="AE38" s="14"/>
      <c r="AF38" s="14"/>
      <c r="AG38" s="14"/>
    </row>
    <row r="39" spans="2:33" s="4" customFormat="1" x14ac:dyDescent="0.2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12"/>
      <c r="Z39" s="3"/>
      <c r="AA39" s="3"/>
      <c r="AB39" s="14"/>
      <c r="AC39" s="14"/>
      <c r="AD39" s="14"/>
      <c r="AE39" s="14"/>
      <c r="AF39" s="14"/>
      <c r="AG39" s="14"/>
    </row>
    <row r="40" spans="2:33" ht="13.5" customHeight="1" x14ac:dyDescent="0.2">
      <c r="U40" s="12"/>
    </row>
    <row r="41" spans="2:33" x14ac:dyDescent="0.2">
      <c r="U41" s="12"/>
    </row>
    <row r="42" spans="2:33" x14ac:dyDescent="0.2">
      <c r="U42" s="12"/>
    </row>
    <row r="43" spans="2:33" ht="12.75" customHeight="1" x14ac:dyDescent="0.2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3"/>
    </row>
    <row r="44" spans="2:33" x14ac:dyDescent="0.2">
      <c r="U44" s="12"/>
    </row>
    <row r="45" spans="2:33" x14ac:dyDescent="0.2">
      <c r="U45" s="12"/>
    </row>
    <row r="46" spans="2:33" s="7" customFormat="1" ht="15.75" x14ac:dyDescent="0.2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12"/>
      <c r="V46" s="4"/>
      <c r="W46" s="4"/>
      <c r="X46" s="4"/>
      <c r="Y46" s="9"/>
      <c r="Z46" s="8"/>
      <c r="AA46" s="8"/>
      <c r="AB46" s="8"/>
      <c r="AC46" s="8"/>
      <c r="AD46" s="8"/>
      <c r="AE46" s="8"/>
      <c r="AF46" s="8"/>
      <c r="AG46" s="8"/>
    </row>
    <row r="47" spans="2:33" x14ac:dyDescent="0.2">
      <c r="U47" s="12"/>
    </row>
    <row r="48" spans="2:33" x14ac:dyDescent="0.2">
      <c r="U48" s="12"/>
    </row>
    <row r="49" spans="2:33" x14ac:dyDescent="0.2">
      <c r="U49" s="12"/>
    </row>
    <row r="50" spans="2:33" x14ac:dyDescent="0.2">
      <c r="U50" s="12"/>
    </row>
    <row r="51" spans="2:33" s="7" customFormat="1" ht="15.75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3"/>
      <c r="V51" s="9"/>
      <c r="W51" s="9"/>
      <c r="X51" s="9"/>
      <c r="Y51" s="9"/>
      <c r="Z51" s="8"/>
      <c r="AA51" s="8"/>
      <c r="AB51" s="8"/>
      <c r="AC51" s="8"/>
      <c r="AD51" s="8"/>
      <c r="AE51" s="8"/>
      <c r="AF51" s="8"/>
      <c r="AG51" s="8"/>
    </row>
    <row r="52" spans="2:33" x14ac:dyDescent="0.2">
      <c r="U52" s="12"/>
    </row>
    <row r="53" spans="2:33" x14ac:dyDescent="0.2">
      <c r="U53" s="12"/>
    </row>
    <row r="54" spans="2:33" x14ac:dyDescent="0.2">
      <c r="U54" s="12"/>
    </row>
    <row r="55" spans="2:33" x14ac:dyDescent="0.2">
      <c r="U55" s="12"/>
    </row>
    <row r="56" spans="2:33" x14ac:dyDescent="0.2">
      <c r="U56" s="12"/>
    </row>
    <row r="57" spans="2:33" x14ac:dyDescent="0.2">
      <c r="U57" s="12"/>
    </row>
    <row r="58" spans="2:33" x14ac:dyDescent="0.2">
      <c r="U58" s="12"/>
    </row>
    <row r="59" spans="2:33" x14ac:dyDescent="0.2">
      <c r="U59" s="12"/>
    </row>
    <row r="60" spans="2:33" x14ac:dyDescent="0.2">
      <c r="U60" s="12"/>
    </row>
    <row r="61" spans="2:33" x14ac:dyDescent="0.2">
      <c r="U61" s="12"/>
    </row>
    <row r="62" spans="2:33" s="7" customFormat="1" ht="15.75" x14ac:dyDescent="0.25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3"/>
      <c r="V62" s="9"/>
      <c r="W62" s="9"/>
      <c r="X62" s="9"/>
      <c r="Y62" s="9"/>
      <c r="Z62" s="8"/>
      <c r="AA62" s="8"/>
      <c r="AB62" s="8"/>
      <c r="AC62" s="8"/>
      <c r="AD62" s="8"/>
      <c r="AE62" s="8"/>
      <c r="AF62" s="8"/>
      <c r="AG62" s="8"/>
    </row>
    <row r="63" spans="2:33" x14ac:dyDescent="0.2">
      <c r="U63" s="12"/>
    </row>
    <row r="64" spans="2:33" x14ac:dyDescent="0.2">
      <c r="U64" s="12"/>
    </row>
    <row r="65" spans="2:33" x14ac:dyDescent="0.2">
      <c r="U65" s="12"/>
    </row>
    <row r="66" spans="2:33" x14ac:dyDescent="0.2">
      <c r="U66" s="12"/>
    </row>
    <row r="67" spans="2:33" x14ac:dyDescent="0.2">
      <c r="U67" s="12"/>
    </row>
    <row r="68" spans="2:33" x14ac:dyDescent="0.2">
      <c r="U68" s="12"/>
    </row>
    <row r="69" spans="2:33" x14ac:dyDescent="0.2">
      <c r="U69" s="12"/>
    </row>
    <row r="70" spans="2:33" s="7" customFormat="1" ht="15.75" x14ac:dyDescent="0.25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3"/>
      <c r="V70" s="9"/>
      <c r="W70" s="9"/>
      <c r="X70" s="9"/>
      <c r="Y70" s="9"/>
      <c r="Z70" s="8"/>
      <c r="AA70" s="8"/>
      <c r="AB70" s="8"/>
      <c r="AC70" s="8"/>
      <c r="AD70" s="8"/>
      <c r="AE70" s="8"/>
      <c r="AF70" s="8"/>
      <c r="AG70" s="8"/>
    </row>
    <row r="71" spans="2:33" x14ac:dyDescent="0.2">
      <c r="U71" s="12"/>
    </row>
    <row r="72" spans="2:33" x14ac:dyDescent="0.2">
      <c r="U72" s="12"/>
    </row>
    <row r="73" spans="2:33" x14ac:dyDescent="0.2">
      <c r="U73" s="12"/>
    </row>
    <row r="74" spans="2:33" x14ac:dyDescent="0.2">
      <c r="U74" s="12"/>
    </row>
    <row r="75" spans="2:33" x14ac:dyDescent="0.2">
      <c r="U75" s="12"/>
    </row>
    <row r="76" spans="2:33" x14ac:dyDescent="0.2">
      <c r="U76" s="12"/>
    </row>
    <row r="77" spans="2:33" x14ac:dyDescent="0.2">
      <c r="U77" s="12"/>
    </row>
    <row r="78" spans="2:33" x14ac:dyDescent="0.2">
      <c r="U78" s="12"/>
    </row>
    <row r="79" spans="2:33" x14ac:dyDescent="0.2">
      <c r="U79" s="12"/>
    </row>
    <row r="80" spans="2:33" x14ac:dyDescent="0.2">
      <c r="U80" s="12"/>
    </row>
    <row r="81" spans="2:33" x14ac:dyDescent="0.2">
      <c r="U81" s="12"/>
    </row>
    <row r="82" spans="2:33" s="7" customFormat="1" ht="15.75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3"/>
      <c r="V82" s="9"/>
      <c r="W82" s="9"/>
      <c r="X82" s="9"/>
      <c r="Y82" s="9"/>
      <c r="Z82" s="8"/>
      <c r="AA82" s="8"/>
      <c r="AB82" s="8"/>
      <c r="AC82" s="8"/>
      <c r="AD82" s="8"/>
      <c r="AE82" s="8"/>
      <c r="AF82" s="8"/>
      <c r="AG82" s="8"/>
    </row>
    <row r="83" spans="2:33" x14ac:dyDescent="0.2">
      <c r="U83" s="12"/>
    </row>
    <row r="84" spans="2:33" x14ac:dyDescent="0.2">
      <c r="U84" s="12"/>
    </row>
    <row r="85" spans="2:33" x14ac:dyDescent="0.2">
      <c r="U85" s="12"/>
    </row>
    <row r="86" spans="2:33" x14ac:dyDescent="0.2">
      <c r="U86" s="12"/>
    </row>
    <row r="87" spans="2:33" x14ac:dyDescent="0.2">
      <c r="U87" s="12"/>
    </row>
    <row r="88" spans="2:33" x14ac:dyDescent="0.2">
      <c r="U88" s="12"/>
    </row>
    <row r="89" spans="2:33" x14ac:dyDescent="0.2">
      <c r="U89" s="12"/>
    </row>
    <row r="90" spans="2:33" x14ac:dyDescent="0.2">
      <c r="U90" s="12"/>
    </row>
    <row r="91" spans="2:33" x14ac:dyDescent="0.2">
      <c r="U91" s="12"/>
    </row>
    <row r="92" spans="2:33" x14ac:dyDescent="0.2">
      <c r="U92" s="12"/>
    </row>
    <row r="93" spans="2:33" s="7" customFormat="1" ht="15.75" x14ac:dyDescent="0.25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3"/>
      <c r="V93" s="9"/>
      <c r="W93" s="9"/>
      <c r="X93" s="9"/>
      <c r="Y93" s="9"/>
      <c r="Z93" s="8"/>
      <c r="AA93" s="8"/>
      <c r="AB93" s="8"/>
      <c r="AC93" s="8"/>
      <c r="AD93" s="8"/>
      <c r="AE93" s="8"/>
      <c r="AF93" s="8"/>
      <c r="AG93" s="8"/>
    </row>
    <row r="94" spans="2:33" x14ac:dyDescent="0.2">
      <c r="U94" s="12"/>
    </row>
    <row r="95" spans="2:33" x14ac:dyDescent="0.2">
      <c r="U95" s="12"/>
    </row>
    <row r="96" spans="2:33" x14ac:dyDescent="0.2">
      <c r="U96" s="12"/>
    </row>
    <row r="97" spans="2:33" x14ac:dyDescent="0.2">
      <c r="U97" s="12"/>
    </row>
    <row r="98" spans="2:33" x14ac:dyDescent="0.2">
      <c r="U98" s="12"/>
    </row>
    <row r="99" spans="2:33" x14ac:dyDescent="0.2">
      <c r="U99" s="12"/>
    </row>
    <row r="100" spans="2:33" x14ac:dyDescent="0.2">
      <c r="U100" s="12"/>
    </row>
    <row r="101" spans="2:33" x14ac:dyDescent="0.2">
      <c r="U101" s="12"/>
    </row>
    <row r="102" spans="2:33" x14ac:dyDescent="0.2">
      <c r="U102" s="12"/>
    </row>
    <row r="103" spans="2:33" s="7" customFormat="1" ht="15.75" x14ac:dyDescent="0.25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3"/>
      <c r="V103" s="9"/>
      <c r="W103" s="9"/>
      <c r="X103" s="9"/>
      <c r="Y103" s="9"/>
      <c r="Z103" s="8"/>
      <c r="AA103" s="8"/>
      <c r="AB103" s="8"/>
      <c r="AC103" s="8"/>
      <c r="AD103" s="8"/>
      <c r="AE103" s="8"/>
      <c r="AF103" s="8"/>
      <c r="AG103" s="8"/>
    </row>
    <row r="104" spans="2:33" x14ac:dyDescent="0.2">
      <c r="U104" s="12"/>
    </row>
    <row r="105" spans="2:33" x14ac:dyDescent="0.2">
      <c r="U105" s="12"/>
    </row>
    <row r="106" spans="2:33" x14ac:dyDescent="0.2">
      <c r="U106" s="12"/>
    </row>
    <row r="107" spans="2:33" s="7" customFormat="1" ht="15.75" x14ac:dyDescent="0.25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"/>
      <c r="V107" s="9"/>
      <c r="W107" s="9"/>
      <c r="X107" s="9"/>
      <c r="Y107" s="9"/>
      <c r="Z107" s="8"/>
      <c r="AA107" s="8"/>
      <c r="AB107" s="8"/>
      <c r="AC107" s="8"/>
      <c r="AD107" s="8"/>
      <c r="AE107" s="8"/>
      <c r="AF107" s="8"/>
      <c r="AG107" s="8"/>
    </row>
    <row r="110" spans="2:33" s="7" customFormat="1" ht="15.75" x14ac:dyDescent="0.25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"/>
      <c r="V110" s="9"/>
      <c r="W110" s="9"/>
      <c r="X110" s="9"/>
      <c r="Y110" s="9"/>
      <c r="Z110" s="8"/>
      <c r="AA110" s="8"/>
      <c r="AB110" s="8"/>
      <c r="AC110" s="8"/>
      <c r="AD110" s="8"/>
      <c r="AE110" s="8"/>
      <c r="AF110" s="8"/>
      <c r="AG110" s="8"/>
    </row>
    <row r="118" spans="2:33" s="7" customFormat="1" ht="15.75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"/>
      <c r="V118" s="9"/>
      <c r="W118" s="9"/>
      <c r="X118" s="9"/>
      <c r="Y118" s="9"/>
      <c r="Z118" s="8"/>
      <c r="AA118" s="8"/>
      <c r="AB118" s="8"/>
      <c r="AC118" s="8"/>
      <c r="AD118" s="8"/>
      <c r="AE118" s="8"/>
      <c r="AF118" s="8"/>
      <c r="AG118" s="8"/>
    </row>
    <row r="122" spans="2:33" s="7" customFormat="1" ht="15.75" x14ac:dyDescent="0.25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"/>
      <c r="V122" s="9"/>
      <c r="W122" s="9"/>
      <c r="X122" s="9"/>
      <c r="Y122" s="9"/>
      <c r="Z122" s="8"/>
      <c r="AA122" s="8"/>
      <c r="AB122" s="8"/>
      <c r="AC122" s="8"/>
      <c r="AD122" s="8"/>
      <c r="AE122" s="8"/>
      <c r="AF122" s="8"/>
      <c r="AG122" s="8"/>
    </row>
    <row r="131" spans="2:33" s="7" customFormat="1" ht="15.75" x14ac:dyDescent="0.25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"/>
      <c r="V131" s="9"/>
      <c r="W131" s="9"/>
      <c r="X131" s="9"/>
      <c r="Y131" s="9"/>
      <c r="Z131" s="8"/>
      <c r="AA131" s="8"/>
      <c r="AB131" s="8"/>
      <c r="AC131" s="8"/>
      <c r="AD131" s="8"/>
      <c r="AE131" s="8"/>
      <c r="AF131" s="8"/>
      <c r="AG131" s="8"/>
    </row>
  </sheetData>
  <mergeCells count="27">
    <mergeCell ref="W19:X19"/>
    <mergeCell ref="B18:I18"/>
    <mergeCell ref="H16:Y16"/>
    <mergeCell ref="B19:J19"/>
    <mergeCell ref="H17:Y17"/>
    <mergeCell ref="W18:X18"/>
    <mergeCell ref="B2:Y3"/>
    <mergeCell ref="B6:N6"/>
    <mergeCell ref="B7:H7"/>
    <mergeCell ref="B4:H4"/>
    <mergeCell ref="I4:M4"/>
    <mergeCell ref="O4:R4"/>
    <mergeCell ref="B5:H5"/>
    <mergeCell ref="I7:U7"/>
    <mergeCell ref="S4:U4"/>
    <mergeCell ref="O6:P6"/>
    <mergeCell ref="B12:C12"/>
    <mergeCell ref="D12:U12"/>
    <mergeCell ref="B8:G8"/>
    <mergeCell ref="B15:G17"/>
    <mergeCell ref="B10:Y10"/>
    <mergeCell ref="D14:U14"/>
    <mergeCell ref="H15:Y15"/>
    <mergeCell ref="B14:C14"/>
    <mergeCell ref="B11:C11"/>
    <mergeCell ref="D11:U11"/>
    <mergeCell ref="B13:Y13"/>
  </mergeCells>
  <printOptions horizontalCentered="1" gridLinesSet="0"/>
  <pageMargins left="0.15748031496062992" right="0.23622047244094491" top="0.39370078740157483" bottom="0.39370078740157483" header="0.39370078740157483" footer="0.39370078740157483"/>
  <pageSetup paperSize="9" scale="67" fitToHeight="0" orientation="portrait" horizontalDpi="360" verticalDpi="36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E8A606-8739-4AF7-B0E5-4C3A563C0D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RESUMO</vt:lpstr>
      <vt:lpstr>DATABASE</vt:lpstr>
      <vt:lpstr>LISTAS</vt:lpstr>
      <vt:lpstr>BASEITENS</vt:lpstr>
      <vt:lpstr>BASEITENS_GERAL</vt:lpstr>
      <vt:lpstr>COD_PROPOSTA</vt:lpstr>
      <vt:lpstr>E1_PLAN</vt:lpstr>
      <vt:lpstr>LAYOUT_BASE</vt:lpstr>
      <vt:lpstr>LAYOUT_BASE!Area_de_impressao</vt:lpstr>
      <vt:lpstr>LAYOUT_BASE!Titulos_de_impressao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Miranda</dc:creator>
  <cp:lastModifiedBy>JEFFERSON-PC</cp:lastModifiedBy>
  <cp:lastPrinted>2021-05-17T18:04:25Z</cp:lastPrinted>
  <dcterms:created xsi:type="dcterms:W3CDTF">2015-06-05T18:17:20Z</dcterms:created>
  <dcterms:modified xsi:type="dcterms:W3CDTF">2021-09-26T13:23:26Z</dcterms:modified>
</cp:coreProperties>
</file>